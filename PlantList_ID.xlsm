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dangt\Documents\DataPlantList\"/>
    </mc:Choice>
  </mc:AlternateContent>
  <xr:revisionPtr revIDLastSave="0" documentId="13_ncr:1_{6EBF515F-ED13-4409-A2A4-73218521A980}" xr6:coauthVersionLast="47" xr6:coauthVersionMax="47" xr10:uidLastSave="{00000000-0000-0000-0000-000000000000}"/>
  <bookViews>
    <workbookView xWindow="-110" yWindow="-110" windowWidth="19420" windowHeight="10300" activeTab="2" xr2:uid="{00000000-000D-0000-FFFF-FFFF00000000}"/>
  </bookViews>
  <sheets>
    <sheet name="Introduction" sheetId="4" r:id="rId1"/>
    <sheet name="PriceList" sheetId="3" r:id="rId2"/>
    <sheet name="TLSG" sheetId="6" r:id="rId3"/>
    <sheet name="OderFolow" sheetId="10" r:id="rId4"/>
    <sheet name="SheetForm" sheetId="11" r:id="rId5"/>
  </sheets>
  <functionGroups builtInGroupCount="19"/>
  <externalReferences>
    <externalReference r:id="rId6"/>
  </externalReferences>
  <definedNames>
    <definedName name="_xlnm._FilterDatabase" localSheetId="1" hidden="1">PriceList!$A$2:$D$169</definedName>
    <definedName name="_xlnm._FilterDatabase" localSheetId="2" hidden="1">TLSG!$B$3:$I$182</definedName>
    <definedName name="_xleta.SUM" hidden="1" xlm="1">#NAME?</definedName>
    <definedName name="_xleta.T" hidden="1" xlm="1">#NAME?</definedName>
    <definedName name="_xlnm.Print_Area" localSheetId="2">#REF!</definedName>
    <definedName name="_xlnm.Sheet_Title" localSheetId="2">"TLSG.csv"</definedName>
    <definedName name="TenCayGoiY">OFFSET([1]TLSG!$C$2, 0, 0, COUNTA([1]TLSG!$C:$C)-1, 1)</definedName>
  </definedNames>
  <calcPr calcId="191029"/>
  <webPublishing css="0" allowPng="1" codePag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 i="10" l="1"/>
  <c r="J61" i="10"/>
  <c r="J60" i="10"/>
  <c r="J52" i="10"/>
  <c r="J56" i="10"/>
  <c r="J53" i="10"/>
  <c r="J59" i="10"/>
  <c r="J44" i="10"/>
  <c r="J50" i="10"/>
  <c r="J49" i="10"/>
  <c r="J39" i="10"/>
  <c r="J33" i="10"/>
  <c r="J30" i="10"/>
  <c r="J27" i="10"/>
  <c r="J21" i="10"/>
  <c r="J23" i="10"/>
  <c r="H2"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tc={9AC6383D-7115-4ACB-94F6-5471B5B279BD}</author>
    <author>tc={C240A053-96F7-4149-9612-3EAA6EB4BF3E}</author>
  </authors>
  <commentList>
    <comment ref="A2" authorId="0" shapeId="0" xr:uid="{9AC6383D-7115-4ACB-94F6-5471B5B279BD}">
      <text>
        <t>[Threaded comment]
Your version of Excel allows you to read this threaded comment; however, any edits to it will get removed if the file is opened in a newer version of Excel. Learn more: https://go.microsoft.com/fwlink/?linkid=870924
Comment:
    Đối với hàng không chứa tên cây mà là một loại data khác thì thêm dấu # vào cột A</t>
      </text>
    </comment>
    <comment ref="B2" authorId="1" shapeId="0" xr:uid="{C240A053-96F7-4149-9612-3EAA6EB4BF3E}">
      <text>
        <t>[Threaded comment]
Your version of Excel allows you to read this threaded comment; however, any edits to it will get removed if the file is opened in a newer version of Excel. Learn more: https://go.microsoft.com/fwlink/?linkid=870924
Comment:
    Không để số trước tên cây</t>
      </text>
    </comment>
  </commentList>
</comments>
</file>

<file path=xl/sharedStrings.xml><?xml version="1.0" encoding="utf-8"?>
<sst xmlns="http://schemas.openxmlformats.org/spreadsheetml/2006/main" count="2392" uniqueCount="1296">
  <si>
    <t>Ross Sapote</t>
  </si>
  <si>
    <t>ghép</t>
  </si>
  <si>
    <t>nguyên bản</t>
  </si>
  <si>
    <t>Santol</t>
  </si>
  <si>
    <t>Chupachupa</t>
  </si>
  <si>
    <t>Pupunha</t>
  </si>
  <si>
    <t>Lambunaw</t>
  </si>
  <si>
    <t>chiết cành</t>
  </si>
  <si>
    <t>chiết</t>
  </si>
  <si>
    <t>10hạt/set</t>
  </si>
  <si>
    <t>100hạt/set</t>
  </si>
  <si>
    <t>3 hạt/set</t>
  </si>
  <si>
    <t>Plant_ID</t>
  </si>
  <si>
    <t>Tên Cây Tiếng Việt</t>
  </si>
  <si>
    <t>Tên Khoa Học</t>
  </si>
  <si>
    <t>Giá</t>
  </si>
  <si>
    <t>Phương Pháp Nhân Giống</t>
  </si>
  <si>
    <t>Loại Cây</t>
  </si>
  <si>
    <t>Táo Mamey</t>
  </si>
  <si>
    <t>Jocote/oliu đỏ</t>
  </si>
  <si>
    <t>Chôm chôm vải</t>
  </si>
  <si>
    <t>Chanh nho lemon vine</t>
  </si>
  <si>
    <t>Chanh dây ngọt Jamaican</t>
  </si>
  <si>
    <t>White Sapote</t>
  </si>
  <si>
    <t>Hồng socola</t>
  </si>
  <si>
    <t>Hồng quân khổng lồ</t>
  </si>
  <si>
    <t>Tre Bongwan số 9</t>
  </si>
  <si>
    <t>Tre Bongwan kim cương số 3</t>
  </si>
  <si>
    <t>Xương rồng ăn quả</t>
  </si>
  <si>
    <t>Thạch cỏ</t>
  </si>
  <si>
    <t>Sapoche khổng lồ</t>
  </si>
  <si>
    <t>Măng cụt vàng</t>
  </si>
  <si>
    <t>Dâu tím</t>
  </si>
  <si>
    <t>Khế ngọt</t>
  </si>
  <si>
    <t>Chea fruit/vải dưa hấu</t>
  </si>
  <si>
    <t>Black berry jam</t>
  </si>
  <si>
    <t>Acai Berry</t>
  </si>
  <si>
    <t>Bơ đậu phộng</t>
  </si>
  <si>
    <t>Cây kẹo dẻo</t>
  </si>
  <si>
    <t>Chuối Hua Mua</t>
  </si>
  <si>
    <t>Chuối tay phật</t>
  </si>
  <si>
    <t>Chuối Mongee</t>
  </si>
  <si>
    <t>Cam cherry</t>
  </si>
  <si>
    <t>Cam sọc</t>
  </si>
  <si>
    <t>Cam máu tarocco</t>
  </si>
  <si>
    <t>Cam Hana yuzu</t>
  </si>
  <si>
    <t>Quýt/cam dekapon</t>
  </si>
  <si>
    <t>Bưởi Othong Siam</t>
  </si>
  <si>
    <t>Organce red</t>
  </si>
  <si>
    <t>Chanh máu</t>
  </si>
  <si>
    <t>Bưởi ruby star</t>
  </si>
  <si>
    <t>Chanh khổng lồ Tây Ban Nha</t>
  </si>
  <si>
    <t>Chanh vàng Italy</t>
  </si>
  <si>
    <t>Chanh hạt gạo</t>
  </si>
  <si>
    <t>Chanh dây ngọt</t>
  </si>
  <si>
    <t>Chanh solento</t>
  </si>
  <si>
    <t>Mận Dalhari</t>
  </si>
  <si>
    <t>Mận khổng lồ Đài Loan</t>
  </si>
  <si>
    <t>Mận khio yok</t>
  </si>
  <si>
    <t>Mận dâu tây</t>
  </si>
  <si>
    <t>Mận bạch yến</t>
  </si>
  <si>
    <t>Mận kim cương cầu vồng</t>
  </si>
  <si>
    <t>Mận mũi đỏ Indo</t>
  </si>
  <si>
    <t>Mận Green Giant</t>
  </si>
  <si>
    <t>Mận manasikana</t>
  </si>
  <si>
    <t>Mận Cincalo Tebu</t>
  </si>
  <si>
    <t>Mận pink sugar</t>
  </si>
  <si>
    <t>Mận Madu</t>
  </si>
  <si>
    <t>Mận Red honey</t>
  </si>
  <si>
    <t>Mận Green Lava</t>
  </si>
  <si>
    <t>Mận nước hoa ĐL</t>
  </si>
  <si>
    <t>Mận điều đen</t>
  </si>
  <si>
    <t>Mận điều trắng trái dài</t>
  </si>
  <si>
    <t>Mận điều trắng trái tròn</t>
  </si>
  <si>
    <t>Mận điều Jamaica</t>
  </si>
  <si>
    <t>Mận Bira</t>
  </si>
  <si>
    <t>Mận điều var hồng xanh trắng</t>
  </si>
  <si>
    <t>Mận điều jamaika candy</t>
  </si>
  <si>
    <t>Táo 13</t>
  </si>
  <si>
    <t>Táo Tiger Tooth</t>
  </si>
  <si>
    <t>Táo đỏ Ấn Độ</t>
  </si>
  <si>
    <t>Táo sita</t>
  </si>
  <si>
    <t>Táo amaty</t>
  </si>
  <si>
    <t>Táo michal</t>
  </si>
  <si>
    <t>Táo 16</t>
  </si>
  <si>
    <t>Trâm không hạt</t>
  </si>
  <si>
    <t>Trâm khổng lồ</t>
  </si>
  <si>
    <t>Trâm xanh</t>
  </si>
  <si>
    <t>Trâm trắng</t>
  </si>
  <si>
    <t>Trâm hồng</t>
  </si>
  <si>
    <t>Xoài bút chì</t>
  </si>
  <si>
    <t>Xoài khổng lồ Philippines</t>
  </si>
  <si>
    <t>Xoài Kuy fei</t>
  </si>
  <si>
    <t>Xoài mahachanok</t>
  </si>
  <si>
    <t>Xoài toà nhà</t>
  </si>
  <si>
    <t>Xoài dừa</t>
  </si>
  <si>
    <t>Xoài đen</t>
  </si>
  <si>
    <t>Xoài kinh châu trái tròn</t>
  </si>
  <si>
    <t>Xoài xi shi/Adum/kensington/maya</t>
  </si>
  <si>
    <t>Xoài ngọc trai đỏ</t>
  </si>
  <si>
    <t>Xoài chinghea hongmi</t>
  </si>
  <si>
    <t>Xoài sycee</t>
  </si>
  <si>
    <t>Xoài TJC Sri Lanka</t>
  </si>
  <si>
    <t>Kim cương (red kimjiju 3 và 5)</t>
  </si>
  <si>
    <t>Ổi Brazil</t>
  </si>
  <si>
    <t>Ổi siam ruby var</t>
  </si>
  <si>
    <t>Ổi sasithorn var đỏ</t>
  </si>
  <si>
    <t>Mít sầu riêng hạt lép</t>
  </si>
  <si>
    <t>Mít ruột trắng indo</t>
  </si>
  <si>
    <t>Mít champa</t>
  </si>
  <si>
    <t>Mít chariya</t>
  </si>
  <si>
    <t>Me khổng lồ</t>
  </si>
  <si>
    <t>Me ruột đỏ</t>
  </si>
  <si>
    <t>Me keo</t>
  </si>
  <si>
    <t>Nhãn trắng</t>
  </si>
  <si>
    <t>Nhãn xanh</t>
  </si>
  <si>
    <t>Nhãn đen</t>
  </si>
  <si>
    <t>hết</t>
  </si>
  <si>
    <t>Nhãn thủy tinh/ motoa</t>
  </si>
  <si>
    <t>gieo hạt</t>
  </si>
  <si>
    <t>Thanh nhãn</t>
  </si>
  <si>
    <t>Mãng cầu gai Mexico/k.lồ</t>
  </si>
  <si>
    <t>Mãng cầu lisa</t>
  </si>
  <si>
    <t>Na sầu riêng</t>
  </si>
  <si>
    <t>Na cam</t>
  </si>
  <si>
    <t>Na Nam Mỹ</t>
  </si>
  <si>
    <t>Na atemoya geffner</t>
  </si>
  <si>
    <t>Na pink ilama</t>
  </si>
  <si>
    <t>Vải không hạt</t>
  </si>
  <si>
    <t>Vải khổng lồ</t>
  </si>
  <si>
    <t>Hạt bao báp</t>
  </si>
  <si>
    <t>23hạt/set</t>
  </si>
  <si>
    <t>Hạt hoa sứ khổng lồ Nhật Bản</t>
  </si>
  <si>
    <t>50hạt/set</t>
  </si>
  <si>
    <t>Hạt đu đủ Amazon</t>
  </si>
  <si>
    <t>5hạt/set</t>
  </si>
  <si>
    <t>Hạt đu đủ var</t>
  </si>
  <si>
    <t>Lúa hồng pink lady</t>
  </si>
  <si>
    <t>Lúa var</t>
  </si>
  <si>
    <t>Thiên tuế lá bạc</t>
  </si>
  <si>
    <t>Hạt dẻ cười</t>
  </si>
  <si>
    <t>3hạt/set</t>
  </si>
  <si>
    <t>Bí ruột xanh</t>
  </si>
  <si>
    <t>Bí nhật bản Red kuri</t>
  </si>
  <si>
    <t>BÍ Nhật bản delica kabocha squash</t>
  </si>
  <si>
    <t>Cũ</t>
  </si>
  <si>
    <t>Mới</t>
  </si>
  <si>
    <t>TÊN CÂY</t>
  </si>
  <si>
    <t>GIÁ</t>
  </si>
  <si>
    <t>CÁCH NHÂN</t>
  </si>
  <si>
    <t>---</t>
  </si>
  <si>
    <t>x</t>
  </si>
  <si>
    <t xml:space="preserve">White Sapote </t>
  </si>
  <si>
    <t xml:space="preserve">Hồng socola </t>
  </si>
  <si>
    <t>nguyên bản 1.5 năm tuổi</t>
  </si>
  <si>
    <t>Các loại chuối:</t>
  </si>
  <si>
    <t>1. Chuối Hua Mua</t>
  </si>
  <si>
    <t>2. Chuối tay phật</t>
  </si>
  <si>
    <t>3. Chuối Mongee</t>
  </si>
  <si>
    <t>Các loại cam/quýt:</t>
  </si>
  <si>
    <t>1. Cam cherry</t>
  </si>
  <si>
    <t>2. Cam sọc</t>
  </si>
  <si>
    <t>3. Cam máu tarocco (organce blood)</t>
  </si>
  <si>
    <t>4. Cam Hana yuzu</t>
  </si>
  <si>
    <t>5. Quýt/cam dekapon</t>
  </si>
  <si>
    <t>6. Bưởi Othong Siam</t>
  </si>
  <si>
    <t>7. Organce red</t>
  </si>
  <si>
    <t>8. Chanh máu (blood lime)</t>
  </si>
  <si>
    <t>9. Bưởi ruby star</t>
  </si>
  <si>
    <t>Các loại chanh:</t>
  </si>
  <si>
    <t>1. Chanh khổng lồ Tây Ban Nha</t>
  </si>
  <si>
    <t>2. Chanh vàng Italy</t>
  </si>
  <si>
    <t>3. Chanh hạt gạo</t>
  </si>
  <si>
    <t>ghép chui cành</t>
  </si>
  <si>
    <t>4. Chanh dây ngọt</t>
  </si>
  <si>
    <t>5. Chanh solento</t>
  </si>
  <si>
    <t>Các loại Mận:</t>
  </si>
  <si>
    <t>450-580</t>
  </si>
  <si>
    <t>1. Mận Dalhari</t>
  </si>
  <si>
    <t>2. Mận khổng lồ Đài Loan</t>
  </si>
  <si>
    <t>3. Mận khio yok</t>
  </si>
  <si>
    <t>4. Mận dâu tây</t>
  </si>
  <si>
    <t>5. Mận bạch yến</t>
  </si>
  <si>
    <t>6. Mận kim cương cầu vồng</t>
  </si>
  <si>
    <t>7. Mận mũi đỏ Indo</t>
  </si>
  <si>
    <t>8. Mận Green Giant</t>
  </si>
  <si>
    <t>chiết cành đang dưỡng</t>
  </si>
  <si>
    <t>9. Mận manasikana</t>
  </si>
  <si>
    <t>10.Mận Cincalo Tebu</t>
  </si>
  <si>
    <t>11. Mận pink sugar</t>
  </si>
  <si>
    <t>12. Mận Madu</t>
  </si>
  <si>
    <t>13. Mận Red honey</t>
  </si>
  <si>
    <t>14. Mận Green Lava</t>
  </si>
  <si>
    <t>15. Mận nước hoa ĐL</t>
  </si>
  <si>
    <t>16,Sugar barbie -</t>
  </si>
  <si>
    <t>17,Cincalo</t>
  </si>
  <si>
    <t>18, Black Red</t>
  </si>
  <si>
    <t>19, Red Pearl</t>
  </si>
  <si>
    <t>20, Red hybird</t>
  </si>
  <si>
    <t>Các loại mận điều:</t>
  </si>
  <si>
    <t>1. Mận điều đen</t>
  </si>
  <si>
    <t>2. Mận điều trắng trái dài</t>
  </si>
  <si>
    <t>3. Mận điều trắng trái tròn</t>
  </si>
  <si>
    <t>3. Mận điều Jamaica</t>
  </si>
  <si>
    <t>4. Mận Bira</t>
  </si>
  <si>
    <t>5. Mận điều var hồng xanh trắng</t>
  </si>
  <si>
    <t>6. Mận điều jamaika candy</t>
  </si>
  <si>
    <t>Các loại Táo:</t>
  </si>
  <si>
    <t>1. Táo 13</t>
  </si>
  <si>
    <t>2. Táo Tiger Tooth</t>
  </si>
  <si>
    <t>3. Táo đỏ Ấn Độ</t>
  </si>
  <si>
    <t>4. Táo sita</t>
  </si>
  <si>
    <t>5. Táo amaty</t>
  </si>
  <si>
    <t>6. Táo michal</t>
  </si>
  <si>
    <t>7. Táo 16</t>
  </si>
  <si>
    <t>Các loại trâm:</t>
  </si>
  <si>
    <t>1. Trâm không hạt</t>
  </si>
  <si>
    <t>ghép Thái</t>
  </si>
  <si>
    <t>2. Trâm khổng lồ</t>
  </si>
  <si>
    <t>3. Trâm xanh</t>
  </si>
  <si>
    <t>4. Trâm trắng</t>
  </si>
  <si>
    <t>5. Trâm hồng</t>
  </si>
  <si>
    <t>Các loại xoài</t>
  </si>
  <si>
    <t>1. Xoài “Trứng mặt trời”</t>
  </si>
  <si>
    <t>2. Xoài bút chì</t>
  </si>
  <si>
    <t>3. Xoài khổng lồ Philippines</t>
  </si>
  <si>
    <t>4. Xoài Kuy fei</t>
  </si>
  <si>
    <t>5. Xoài mahachanok</t>
  </si>
  <si>
    <t>6. Xoài toà nhà</t>
  </si>
  <si>
    <t>7. Xoài dừa</t>
  </si>
  <si>
    <t>8. Xoài đen</t>
  </si>
  <si>
    <t>9. Xoài kinh châu trái tròn</t>
  </si>
  <si>
    <t>10. Xoài xi shi/Adum/kensington/maya</t>
  </si>
  <si>
    <t>11. Xoài ngọc trai đỏ</t>
  </si>
  <si>
    <t>12. Xoài chinghea hongmi</t>
  </si>
  <si>
    <t>13.Xoài sycee</t>
  </si>
  <si>
    <t>14. Xoài TJC Sri Lanka</t>
  </si>
  <si>
    <t>Các loại ổi:</t>
  </si>
  <si>
    <t>1. Ổi đỏ Ayothaya 3</t>
  </si>
  <si>
    <t>2. Sisaket 3</t>
  </si>
  <si>
    <t>4. Ổi Brazil</t>
  </si>
  <si>
    <t>5. Ổi siam ruby var</t>
  </si>
  <si>
    <t>6. Ổi sasithorn var đỏ</t>
  </si>
  <si>
    <t>Các loại mít:</t>
  </si>
  <si>
    <t>1. Mít sầu riêng hạt lép</t>
  </si>
  <si>
    <t>2. Mít ruột trắng indo</t>
  </si>
  <si>
    <t>3. Mít champa</t>
  </si>
  <si>
    <t>4. Mít chariya</t>
  </si>
  <si>
    <t>Các loại me:</t>
  </si>
  <si>
    <t>1. Me khổng lồ</t>
  </si>
  <si>
    <t>2. Me ruột đỏ</t>
  </si>
  <si>
    <t>3. Me keo</t>
  </si>
  <si>
    <t>Các loại nhãn:</t>
  </si>
  <si>
    <t>1. Nhãn trắng</t>
  </si>
  <si>
    <t>2. Nhãn xanh</t>
  </si>
  <si>
    <t>3. Nhãn đen</t>
  </si>
  <si>
    <t>4. Nhãn thủy tinh/ motoa</t>
  </si>
  <si>
    <t>5. Thanh nhãn</t>
  </si>
  <si>
    <t>Các loại mãng cầu:</t>
  </si>
  <si>
    <t>Các loại vải:</t>
  </si>
  <si>
    <t>Các loại hạt/củ:</t>
  </si>
  <si>
    <t>Cách nhân giống</t>
  </si>
  <si>
    <t>Mã</t>
  </si>
  <si>
    <t>Ghép</t>
  </si>
  <si>
    <t>Ghép đặc biệt 1</t>
  </si>
  <si>
    <t>Ghép đặc biệt 2</t>
  </si>
  <si>
    <t>Chiết cành</t>
  </si>
  <si>
    <t>Chiết cành đang dưỡng</t>
  </si>
  <si>
    <t>Nguyên bản (cây hạt)</t>
  </si>
  <si>
    <t>Gieo hạt</t>
  </si>
  <si>
    <t>Ghép chui cành</t>
  </si>
  <si>
    <t>Đang dưỡng</t>
  </si>
  <si>
    <t>Khác / đặc biệt nhập khẩu</t>
  </si>
  <si>
    <t>TAM100</t>
  </si>
  <si>
    <t>JOC200</t>
  </si>
  <si>
    <t>CHO200</t>
  </si>
  <si>
    <t>CHA200</t>
  </si>
  <si>
    <t>CHA900</t>
  </si>
  <si>
    <t>WHI900</t>
  </si>
  <si>
    <t>SAN200</t>
  </si>
  <si>
    <t>CHU200</t>
  </si>
  <si>
    <t>PUP200</t>
  </si>
  <si>
    <t>HSO100</t>
  </si>
  <si>
    <t>HQK200</t>
  </si>
  <si>
    <t>XXR900</t>
  </si>
  <si>
    <t>THC200</t>
  </si>
  <si>
    <t>ROS100</t>
  </si>
  <si>
    <t>SAP200</t>
  </si>
  <si>
    <t>MCV100</t>
  </si>
  <si>
    <t>DAT200</t>
  </si>
  <si>
    <t>KNG100</t>
  </si>
  <si>
    <t>CFV200</t>
  </si>
  <si>
    <t>BBJ200</t>
  </si>
  <si>
    <t>ABA200</t>
  </si>
  <si>
    <t>LAM200</t>
  </si>
  <si>
    <t>BDP200</t>
  </si>
  <si>
    <t>CKD300</t>
  </si>
  <si>
    <t>CHM900</t>
  </si>
  <si>
    <t>CTP900</t>
  </si>
  <si>
    <t>CMG900</t>
  </si>
  <si>
    <t>CCH100</t>
  </si>
  <si>
    <t>CSO100</t>
  </si>
  <si>
    <t>CMT100</t>
  </si>
  <si>
    <t>CHY100</t>
  </si>
  <si>
    <t>QCD100</t>
  </si>
  <si>
    <t>BOS100</t>
  </si>
  <si>
    <t>ORG100</t>
  </si>
  <si>
    <t>CMA100</t>
  </si>
  <si>
    <t>BRS100</t>
  </si>
  <si>
    <t>CHK900</t>
  </si>
  <si>
    <t>CHV900</t>
  </si>
  <si>
    <t>CHG400</t>
  </si>
  <si>
    <t>CHD900</t>
  </si>
  <si>
    <t>CHS300</t>
  </si>
  <si>
    <t>MDA300</t>
  </si>
  <si>
    <t>MKD300</t>
  </si>
  <si>
    <t>MKY300</t>
  </si>
  <si>
    <t>MDT300</t>
  </si>
  <si>
    <t>MBY300</t>
  </si>
  <si>
    <t>MKC300</t>
  </si>
  <si>
    <t>MMI300</t>
  </si>
  <si>
    <t>MGG300</t>
  </si>
  <si>
    <t>MMN300</t>
  </si>
  <si>
    <t>MCT300</t>
  </si>
  <si>
    <t>MPS300</t>
  </si>
  <si>
    <t>MMD300</t>
  </si>
  <si>
    <t>MRH300</t>
  </si>
  <si>
    <t>MGL300</t>
  </si>
  <si>
    <t>MND900</t>
  </si>
  <si>
    <t>SBB301</t>
  </si>
  <si>
    <t>Cincalo</t>
  </si>
  <si>
    <t>CIN301</t>
  </si>
  <si>
    <t>Black Red</t>
  </si>
  <si>
    <t>BLR301</t>
  </si>
  <si>
    <t>Red Pearl</t>
  </si>
  <si>
    <t>RDP301</t>
  </si>
  <si>
    <t>Red hybird</t>
  </si>
  <si>
    <t>RDH301</t>
  </si>
  <si>
    <t>MDD100</t>
  </si>
  <si>
    <t>MDT100</t>
  </si>
  <si>
    <t>MDJ100</t>
  </si>
  <si>
    <t>MDJ101</t>
  </si>
  <si>
    <t>MNB200</t>
  </si>
  <si>
    <t>MDV100</t>
  </si>
  <si>
    <t>MDJ102</t>
  </si>
  <si>
    <t>TTT100</t>
  </si>
  <si>
    <t>TDA100</t>
  </si>
  <si>
    <t>TSI300</t>
  </si>
  <si>
    <t>TMC100</t>
  </si>
  <si>
    <t>TRK100</t>
  </si>
  <si>
    <t>TRL100</t>
  </si>
  <si>
    <t>TRX100</t>
  </si>
  <si>
    <t>TRW900</t>
  </si>
  <si>
    <t>TRH900</t>
  </si>
  <si>
    <t>Xoài “Trứng mặt trời”</t>
  </si>
  <si>
    <t>XTM100</t>
  </si>
  <si>
    <t>XBC100</t>
  </si>
  <si>
    <t>XKP100</t>
  </si>
  <si>
    <t>XKF100</t>
  </si>
  <si>
    <t>XMH100</t>
  </si>
  <si>
    <t>XTN100</t>
  </si>
  <si>
    <t>XDU100</t>
  </si>
  <si>
    <t>XDE100</t>
  </si>
  <si>
    <t>XKC100</t>
  </si>
  <si>
    <t>XXS100</t>
  </si>
  <si>
    <t>XNT100</t>
  </si>
  <si>
    <t>ODA100</t>
  </si>
  <si>
    <t>SIS100</t>
  </si>
  <si>
    <t>KDK100</t>
  </si>
  <si>
    <t>OBR900</t>
  </si>
  <si>
    <t>OSR100</t>
  </si>
  <si>
    <t>OSS100</t>
  </si>
  <si>
    <t>MSL100</t>
  </si>
  <si>
    <t>MRI100</t>
  </si>
  <si>
    <t>MCH100</t>
  </si>
  <si>
    <t>MCR100</t>
  </si>
  <si>
    <t>MKG100</t>
  </si>
  <si>
    <t>MRD300</t>
  </si>
  <si>
    <t>MKE300</t>
  </si>
  <si>
    <t>NTR300</t>
  </si>
  <si>
    <t>NXA900</t>
  </si>
  <si>
    <t>NDN900</t>
  </si>
  <si>
    <t>NTM201</t>
  </si>
  <si>
    <t>TNH100</t>
  </si>
  <si>
    <t>XCN100</t>
  </si>
  <si>
    <t>XSY100</t>
  </si>
  <si>
    <t>XTS100</t>
  </si>
  <si>
    <t>MCG100</t>
  </si>
  <si>
    <t>MCL100</t>
  </si>
  <si>
    <t>NSS100</t>
  </si>
  <si>
    <t>NAC400</t>
  </si>
  <si>
    <t>NNM100</t>
  </si>
  <si>
    <t>NAG100</t>
  </si>
  <si>
    <t>NPI100</t>
  </si>
  <si>
    <t>VKH300</t>
  </si>
  <si>
    <t>VKL300</t>
  </si>
  <si>
    <t>HBB900</t>
  </si>
  <si>
    <t>HHS900</t>
  </si>
  <si>
    <t>HDD900</t>
  </si>
  <si>
    <t>HDV900</t>
  </si>
  <si>
    <t>LHP900</t>
  </si>
  <si>
    <t>LUV900</t>
  </si>
  <si>
    <t>TTL900</t>
  </si>
  <si>
    <t>HDC900</t>
  </si>
  <si>
    <t>BRX900</t>
  </si>
  <si>
    <t>BRK900</t>
  </si>
  <si>
    <t>BDK900</t>
  </si>
  <si>
    <t>HDP900</t>
  </si>
  <si>
    <t>HBD900</t>
  </si>
  <si>
    <t>HLP900</t>
  </si>
  <si>
    <t>HPB900</t>
  </si>
  <si>
    <t>HCM900</t>
  </si>
  <si>
    <t>HPT900</t>
  </si>
  <si>
    <t>#</t>
  </si>
  <si>
    <t>NTS900</t>
  </si>
  <si>
    <t>NTV900</t>
  </si>
  <si>
    <t>NTR900</t>
  </si>
  <si>
    <t>NTT900</t>
  </si>
  <si>
    <t>ID</t>
  </si>
  <si>
    <t>Sugar barbie -</t>
  </si>
  <si>
    <t>Ổi đỏ Ayothaya</t>
  </si>
  <si>
    <t>Sisaket</t>
  </si>
  <si>
    <t>Hoa đậu biếc nhiều màu mới giá từ 49k/set</t>
  </si>
  <si>
    <t>dark pink-3 hạt -49k</t>
  </si>
  <si>
    <t>blue double (cánh kép)-2 hạt 49k</t>
  </si>
  <si>
    <t>light pink-2 hạt 49k</t>
  </si>
  <si>
    <t>pastel blue (cánh đơn)-10 hạt-69k-hết hàng</t>
  </si>
  <si>
    <t>cẩm thạch- 5 hạt 69k</t>
  </si>
  <si>
    <t>pastel tím-5 hạt-69k</t>
  </si>
  <si>
    <t>Nhãn Sầu riêng</t>
  </si>
  <si>
    <t>trái xanh</t>
  </si>
  <si>
    <t>trái vàng</t>
  </si>
  <si>
    <t>trái đỏ</t>
  </si>
  <si>
    <t>trái tim</t>
  </si>
  <si>
    <t>TAA100</t>
  </si>
  <si>
    <t>TBW200</t>
  </si>
  <si>
    <t>TBK200</t>
  </si>
  <si>
    <t>TA3100</t>
  </si>
  <si>
    <t>TA6100</t>
  </si>
  <si>
    <t>Cây ăn trái</t>
  </si>
  <si>
    <t>Cây chuối</t>
  </si>
  <si>
    <t>Cây cam</t>
  </si>
  <si>
    <t>Cây bưởi</t>
  </si>
  <si>
    <t>Cây chanh</t>
  </si>
  <si>
    <t>Cây mận</t>
  </si>
  <si>
    <t>Cây táo</t>
  </si>
  <si>
    <t>Cây trâm</t>
  </si>
  <si>
    <t>Cây xoài</t>
  </si>
  <si>
    <t>Cây ổi</t>
  </si>
  <si>
    <t>Cây mít</t>
  </si>
  <si>
    <t>Cây me</t>
  </si>
  <si>
    <t>Cây nhãn</t>
  </si>
  <si>
    <t>Cây na</t>
  </si>
  <si>
    <t>Cây vải</t>
  </si>
  <si>
    <t>Mãng cầu</t>
  </si>
  <si>
    <t>Hạt giống</t>
  </si>
  <si>
    <t>Hạt lúa</t>
  </si>
  <si>
    <t>Củ thiên tuế</t>
  </si>
  <si>
    <t>Hạt dẻ</t>
  </si>
  <si>
    <t>Hạt bí</t>
  </si>
  <si>
    <t>Hạt đậu biết</t>
  </si>
  <si>
    <t>Nhãn sầu riêng</t>
  </si>
  <si>
    <t>Trái xanh</t>
  </si>
  <si>
    <t>Trái vàng</t>
  </si>
  <si>
    <t>Trái đỏ</t>
  </si>
  <si>
    <t>Trái tím</t>
  </si>
  <si>
    <r>
      <rPr>
        <b/>
        <sz val="20"/>
        <color rgb="FF000000"/>
        <rFont val="Sans"/>
      </rPr>
      <t>■</t>
    </r>
    <r>
      <rPr>
        <b/>
        <sz val="12"/>
        <color rgb="FF000000"/>
        <rFont val="Sans"/>
      </rPr>
      <t>Ý nghĩa các thành phần trong  Plant_ID được đặt  theo quy tắc sau</t>
    </r>
  </si>
  <si>
    <t>- 3 chữ cái đầu đại diện tên cây (viết tắt tương đối gần tên gốc)</t>
  </si>
  <si>
    <t>- 3 số hậu tố thể hiện cách nhân giống theo bảng sau:</t>
  </si>
  <si>
    <t>Ví dụ:</t>
  </si>
  <si>
    <t xml:space="preserve"> - CHO200</t>
  </si>
  <si>
    <t>CHO→Chôm chôm</t>
  </si>
  <si>
    <t>200→Cây nguyên bản</t>
  </si>
  <si>
    <t>CHA→Chanh</t>
  </si>
  <si>
    <t xml:space="preserve"> - CHA200</t>
  </si>
  <si>
    <t>Ghi chú (Thông Tin Bổ Sung Về Cây)</t>
  </si>
  <si>
    <t>Liên kết thư mục</t>
  </si>
  <si>
    <t>Open Local TAM100</t>
  </si>
  <si>
    <t>Open Cloud TAM100</t>
  </si>
  <si>
    <t>Open Local JOC200</t>
  </si>
  <si>
    <t>Open Cloud JOC200</t>
  </si>
  <si>
    <t>Open Local CHO200</t>
  </si>
  <si>
    <t>Open Cloud CHO200</t>
  </si>
  <si>
    <t>Open Local CHA200</t>
  </si>
  <si>
    <t>Open Cloud CHA200</t>
  </si>
  <si>
    <t>Open Local CHA900</t>
  </si>
  <si>
    <t>Open Cloud CHA900</t>
  </si>
  <si>
    <t>Open Local WHI900</t>
  </si>
  <si>
    <t>Open Cloud WHI900</t>
  </si>
  <si>
    <t>Open Local SAN200</t>
  </si>
  <si>
    <t>Open Cloud SAN200</t>
  </si>
  <si>
    <t>Open Local CHU200</t>
  </si>
  <si>
    <t>Open Cloud CHU200</t>
  </si>
  <si>
    <t>Open Local PUP200</t>
  </si>
  <si>
    <t>Open Cloud PUP200</t>
  </si>
  <si>
    <t>Open Local HSO100</t>
  </si>
  <si>
    <t>Open Cloud HSO100</t>
  </si>
  <si>
    <t>Open Local HQK200</t>
  </si>
  <si>
    <t>Open Cloud HQK200</t>
  </si>
  <si>
    <t>Open Local TBW200</t>
  </si>
  <si>
    <t>Open Cloud TBW200</t>
  </si>
  <si>
    <t>Open Local TBK200</t>
  </si>
  <si>
    <t>Open Cloud TBK200</t>
  </si>
  <si>
    <t>Open Local XXR900</t>
  </si>
  <si>
    <t>Open Cloud XXR900</t>
  </si>
  <si>
    <t>Open Local THC200</t>
  </si>
  <si>
    <t>Open Cloud THC200</t>
  </si>
  <si>
    <t>Open Local ROS100</t>
  </si>
  <si>
    <t>Open Cloud ROS100</t>
  </si>
  <si>
    <t>Open Local SAP200</t>
  </si>
  <si>
    <t>Open Cloud SAP200</t>
  </si>
  <si>
    <t>Open Local MCV100</t>
  </si>
  <si>
    <t>Open Cloud MCV100</t>
  </si>
  <si>
    <t>Open Local DAT200</t>
  </si>
  <si>
    <t>Open Cloud DAT200</t>
  </si>
  <si>
    <t>Open Local KNG100</t>
  </si>
  <si>
    <t>Open Cloud KNG100</t>
  </si>
  <si>
    <t>Open Local CFV200</t>
  </si>
  <si>
    <t>Open Cloud CFV200</t>
  </si>
  <si>
    <t>Open Local BBJ200</t>
  </si>
  <si>
    <t>Open Cloud BBJ200</t>
  </si>
  <si>
    <t>Open Local ABA200</t>
  </si>
  <si>
    <t>Open Cloud ABA200</t>
  </si>
  <si>
    <t>Open Local LAM200</t>
  </si>
  <si>
    <t>Open Cloud LAM200</t>
  </si>
  <si>
    <t>Open Local BDP200</t>
  </si>
  <si>
    <t>Open Cloud BDP200</t>
  </si>
  <si>
    <t>Open Local CKD300</t>
  </si>
  <si>
    <t>Open Cloud CKD300</t>
  </si>
  <si>
    <t>Open Local CHM900</t>
  </si>
  <si>
    <t>Open Cloud CHM900</t>
  </si>
  <si>
    <t>Open Local CTP900</t>
  </si>
  <si>
    <t>Open Cloud CTP900</t>
  </si>
  <si>
    <t>Open Local CMG900</t>
  </si>
  <si>
    <t>Open Cloud CMG900</t>
  </si>
  <si>
    <t>Open Local CCH100</t>
  </si>
  <si>
    <t>Open Cloud CCH100</t>
  </si>
  <si>
    <t>Open Local CSO100</t>
  </si>
  <si>
    <t>Open Cloud CSO100</t>
  </si>
  <si>
    <t>Open Local CMT100</t>
  </si>
  <si>
    <t>Open Cloud CMT100</t>
  </si>
  <si>
    <t>Open Local CHY100</t>
  </si>
  <si>
    <t>Open Cloud CHY100</t>
  </si>
  <si>
    <t>Open Local QCD100</t>
  </si>
  <si>
    <t>Open Cloud QCD100</t>
  </si>
  <si>
    <t>Open Local BOS100</t>
  </si>
  <si>
    <t>Open Cloud BOS100</t>
  </si>
  <si>
    <t>Open Local ORG100</t>
  </si>
  <si>
    <t>Open Cloud ORG100</t>
  </si>
  <si>
    <t>Open Local CMA100</t>
  </si>
  <si>
    <t>Open Cloud CMA100</t>
  </si>
  <si>
    <t>Open Local BRS100</t>
  </si>
  <si>
    <t>Open Cloud BRS100</t>
  </si>
  <si>
    <t>Open Local CHK900</t>
  </si>
  <si>
    <t>Open Cloud CHK900</t>
  </si>
  <si>
    <t>Open Local CHV900</t>
  </si>
  <si>
    <t>Open Cloud CHV900</t>
  </si>
  <si>
    <t>Open Local CHG400</t>
  </si>
  <si>
    <t>Open Cloud CHG400</t>
  </si>
  <si>
    <t>Open Local CHD900</t>
  </si>
  <si>
    <t>Open Cloud CHD900</t>
  </si>
  <si>
    <t>Open Local CHS300</t>
  </si>
  <si>
    <t>Open Cloud CHS300</t>
  </si>
  <si>
    <t>Open Local MDA300</t>
  </si>
  <si>
    <t>Open Cloud MDA300</t>
  </si>
  <si>
    <t>Open Local MKD300</t>
  </si>
  <si>
    <t>Open Cloud MKD300</t>
  </si>
  <si>
    <t>Open Local MKY300</t>
  </si>
  <si>
    <t>Open Cloud MKY300</t>
  </si>
  <si>
    <t>Open Local MDT300</t>
  </si>
  <si>
    <t>Open Cloud MDT300</t>
  </si>
  <si>
    <t>Open Local MBY300</t>
  </si>
  <si>
    <t>Open Cloud MBY300</t>
  </si>
  <si>
    <t>Open Local MKC300</t>
  </si>
  <si>
    <t>Open Cloud MKC300</t>
  </si>
  <si>
    <t>Open Local MMI300</t>
  </si>
  <si>
    <t>Open Cloud MMI300</t>
  </si>
  <si>
    <t>Open Local MGG300</t>
  </si>
  <si>
    <t>Open Cloud MGG300</t>
  </si>
  <si>
    <t>Open Local MMN300</t>
  </si>
  <si>
    <t>Open Cloud MMN300</t>
  </si>
  <si>
    <t>Open Local MCT300</t>
  </si>
  <si>
    <t>Open Cloud MCT300</t>
  </si>
  <si>
    <t>Open Local MPS300</t>
  </si>
  <si>
    <t>Open Cloud MPS300</t>
  </si>
  <si>
    <t>Open Local MMD300</t>
  </si>
  <si>
    <t>Open Cloud MMD300</t>
  </si>
  <si>
    <t>Open Local MRH300</t>
  </si>
  <si>
    <t>Open Cloud MRH300</t>
  </si>
  <si>
    <t>Open Local MGL300</t>
  </si>
  <si>
    <t>Open Cloud MGL300</t>
  </si>
  <si>
    <t>Open Local MND900</t>
  </si>
  <si>
    <t>Open Cloud MND900</t>
  </si>
  <si>
    <t>Open Local SBB301</t>
  </si>
  <si>
    <t>Open Cloud SBB301</t>
  </si>
  <si>
    <t>Open Local CIN301</t>
  </si>
  <si>
    <t>Open Cloud CIN301</t>
  </si>
  <si>
    <t>Open Local BLR301</t>
  </si>
  <si>
    <t>Open Cloud BLR301</t>
  </si>
  <si>
    <t>Open Local RDP301</t>
  </si>
  <si>
    <t>Open Cloud RDP301</t>
  </si>
  <si>
    <t>Open Local RDH301</t>
  </si>
  <si>
    <t>Open Cloud RDH301</t>
  </si>
  <si>
    <t>Open Local MDD100</t>
  </si>
  <si>
    <t>Open Cloud MDD100</t>
  </si>
  <si>
    <t>Open Local MDT100</t>
  </si>
  <si>
    <t>Open Cloud MDT100</t>
  </si>
  <si>
    <t>Open Local MDJ100</t>
  </si>
  <si>
    <t>Open Cloud MDJ100</t>
  </si>
  <si>
    <t>Open Local MDJ101</t>
  </si>
  <si>
    <t>Open Cloud MDJ101</t>
  </si>
  <si>
    <t>Open Local MNB200</t>
  </si>
  <si>
    <t>Open Cloud MNB200</t>
  </si>
  <si>
    <t>Open Local MDV100</t>
  </si>
  <si>
    <t>Open Cloud MDV100</t>
  </si>
  <si>
    <t>Open Local MDJ102</t>
  </si>
  <si>
    <t>Open Cloud MDJ102</t>
  </si>
  <si>
    <t>Open Local TA3100</t>
  </si>
  <si>
    <t>Open Cloud TA3100</t>
  </si>
  <si>
    <t>Open Local TTT100</t>
  </si>
  <si>
    <t>Open Cloud TTT100</t>
  </si>
  <si>
    <t>Open Local TDA100</t>
  </si>
  <si>
    <t>Open Cloud TDA100</t>
  </si>
  <si>
    <t>Open Local TSI300</t>
  </si>
  <si>
    <t>Open Cloud TSI300</t>
  </si>
  <si>
    <t>Open Local TAA100</t>
  </si>
  <si>
    <t>Open Cloud TAA100</t>
  </si>
  <si>
    <t>Open Local TMC100</t>
  </si>
  <si>
    <t>Open Cloud TMC100</t>
  </si>
  <si>
    <t>Open Local TA6100</t>
  </si>
  <si>
    <t>Open Cloud TA6100</t>
  </si>
  <si>
    <t>Open Local TRK100</t>
  </si>
  <si>
    <t>Open Cloud TRK100</t>
  </si>
  <si>
    <t>Open Local TRL100</t>
  </si>
  <si>
    <t>Open Cloud TRL100</t>
  </si>
  <si>
    <t>Open Local TRX100</t>
  </si>
  <si>
    <t>Open Cloud TRX100</t>
  </si>
  <si>
    <t>Open Local TRW900</t>
  </si>
  <si>
    <t>Open Cloud TRW900</t>
  </si>
  <si>
    <t>Open Local TRH900</t>
  </si>
  <si>
    <t>Open Cloud TRH900</t>
  </si>
  <si>
    <t>Open Local XTM100</t>
  </si>
  <si>
    <t>Open Cloud XTM100</t>
  </si>
  <si>
    <t>Open Local XBC100</t>
  </si>
  <si>
    <t>Open Cloud XBC100</t>
  </si>
  <si>
    <t>Open Local XKP100</t>
  </si>
  <si>
    <t>Open Cloud XKP100</t>
  </si>
  <si>
    <t>Open Local XKF100</t>
  </si>
  <si>
    <t>Open Cloud XKF100</t>
  </si>
  <si>
    <t>Open Local XMH100</t>
  </si>
  <si>
    <t>Open Cloud XMH100</t>
  </si>
  <si>
    <t>Open Local XTN100</t>
  </si>
  <si>
    <t>Open Cloud XTN100</t>
  </si>
  <si>
    <t>Open Local XDU100</t>
  </si>
  <si>
    <t>Open Cloud XDU100</t>
  </si>
  <si>
    <t>Open Local XDE100</t>
  </si>
  <si>
    <t>Open Cloud XDE100</t>
  </si>
  <si>
    <t>Open Local XKC100</t>
  </si>
  <si>
    <t>Open Cloud XKC100</t>
  </si>
  <si>
    <t>Open Local XXS100</t>
  </si>
  <si>
    <t>Open Cloud XXS100</t>
  </si>
  <si>
    <t>Open Local XNT100</t>
  </si>
  <si>
    <t>Open Cloud XNT100</t>
  </si>
  <si>
    <t>Open Local XCN100</t>
  </si>
  <si>
    <t>Open Cloud XCN100</t>
  </si>
  <si>
    <t>Open Local XSY100</t>
  </si>
  <si>
    <t>Open Cloud XSY100</t>
  </si>
  <si>
    <t>Open Local XTS100</t>
  </si>
  <si>
    <t>Open Cloud XTS100</t>
  </si>
  <si>
    <t>Open Local ODA100</t>
  </si>
  <si>
    <t>Open Cloud ODA100</t>
  </si>
  <si>
    <t>Open Local SIS100</t>
  </si>
  <si>
    <t>Open Cloud SIS100</t>
  </si>
  <si>
    <t>Open Local KDK100</t>
  </si>
  <si>
    <t>Open Cloud KDK100</t>
  </si>
  <si>
    <t>Open Local OBR900</t>
  </si>
  <si>
    <t>Open Cloud OBR900</t>
  </si>
  <si>
    <t>Open Local OSR100</t>
  </si>
  <si>
    <t>Open Cloud OSR100</t>
  </si>
  <si>
    <t>Open Local OSS100</t>
  </si>
  <si>
    <t>Open Cloud OSS100</t>
  </si>
  <si>
    <t>Open Local MSL100</t>
  </si>
  <si>
    <t>Open Cloud MSL100</t>
  </si>
  <si>
    <t>Open Local MRI100</t>
  </si>
  <si>
    <t>Open Cloud MRI100</t>
  </si>
  <si>
    <t>Open Local MCH100</t>
  </si>
  <si>
    <t>Open Cloud MCH100</t>
  </si>
  <si>
    <t>Open Local MCR100</t>
  </si>
  <si>
    <t>Open Cloud MCR100</t>
  </si>
  <si>
    <t>Open Local MKG100</t>
  </si>
  <si>
    <t>Open Cloud MKG100</t>
  </si>
  <si>
    <t>Open Local MRD300</t>
  </si>
  <si>
    <t>Open Cloud MRD300</t>
  </si>
  <si>
    <t>Open Local MKE300</t>
  </si>
  <si>
    <t>Open Cloud MKE300</t>
  </si>
  <si>
    <t>Open Local NTR300</t>
  </si>
  <si>
    <t>Open Cloud NTR300</t>
  </si>
  <si>
    <t>Open Local NXA900</t>
  </si>
  <si>
    <t>Open Cloud NXA900</t>
  </si>
  <si>
    <t>Open Local NDN900</t>
  </si>
  <si>
    <t>Open Cloud NDN900</t>
  </si>
  <si>
    <t>Open Local NTM201</t>
  </si>
  <si>
    <t>Open Cloud NTM201</t>
  </si>
  <si>
    <t>Open Local TNH100</t>
  </si>
  <si>
    <t>Open Cloud TNH100</t>
  </si>
  <si>
    <t>Open Local MCG100</t>
  </si>
  <si>
    <t>Open Cloud MCG100</t>
  </si>
  <si>
    <t>Open Local MCL100</t>
  </si>
  <si>
    <t>Open Cloud MCL100</t>
  </si>
  <si>
    <t>Open Local NSS100</t>
  </si>
  <si>
    <t>Open Cloud NSS100</t>
  </si>
  <si>
    <t>Open Local NAC400</t>
  </si>
  <si>
    <t>Open Cloud NAC400</t>
  </si>
  <si>
    <t>Open Local NNM100</t>
  </si>
  <si>
    <t>Open Cloud NNM100</t>
  </si>
  <si>
    <t>Open Local NAG100</t>
  </si>
  <si>
    <t>Open Cloud NAG100</t>
  </si>
  <si>
    <t>Open Local NPI100</t>
  </si>
  <si>
    <t>Open Cloud NPI100</t>
  </si>
  <si>
    <t>Open Local VKH300</t>
  </si>
  <si>
    <t>Open Cloud VKH300</t>
  </si>
  <si>
    <t>Open Local VKL300</t>
  </si>
  <si>
    <t>Open Cloud VKL300</t>
  </si>
  <si>
    <t>Open Local HBB900</t>
  </si>
  <si>
    <t>Open Cloud HBB900</t>
  </si>
  <si>
    <t>Open Local HHS900</t>
  </si>
  <si>
    <t>Open Cloud HHS900</t>
  </si>
  <si>
    <t>Open Local HDD900</t>
  </si>
  <si>
    <t>Open Cloud HDD900</t>
  </si>
  <si>
    <t>Open Local HDV900</t>
  </si>
  <si>
    <t>Open Cloud HDV900</t>
  </si>
  <si>
    <t>Open Local LHP900</t>
  </si>
  <si>
    <t>Open Cloud LHP900</t>
  </si>
  <si>
    <t>Open Local LUV900</t>
  </si>
  <si>
    <t>Open Cloud LUV900</t>
  </si>
  <si>
    <t>Open Local TTL900</t>
  </si>
  <si>
    <t>Open Cloud TTL900</t>
  </si>
  <si>
    <t>Open Local HDC900</t>
  </si>
  <si>
    <t>Open Cloud HDC900</t>
  </si>
  <si>
    <t>Open Local BRX900</t>
  </si>
  <si>
    <t>Open Cloud BRX900</t>
  </si>
  <si>
    <t>Open Local BRK900</t>
  </si>
  <si>
    <t>Open Cloud BRK900</t>
  </si>
  <si>
    <t>Open Local BDK900</t>
  </si>
  <si>
    <t>Open Cloud BDK900</t>
  </si>
  <si>
    <t>Open Local HDP900</t>
  </si>
  <si>
    <t>Open Cloud HDP900</t>
  </si>
  <si>
    <t>Open Local HBD900</t>
  </si>
  <si>
    <t>Open Cloud HBD900</t>
  </si>
  <si>
    <t>Open Local HLP900</t>
  </si>
  <si>
    <t>Open Cloud HLP900</t>
  </si>
  <si>
    <t>Open Local HPB900</t>
  </si>
  <si>
    <t>Open Cloud HPB900</t>
  </si>
  <si>
    <t>Open Local HCM900</t>
  </si>
  <si>
    <t>Open Cloud HCM900</t>
  </si>
  <si>
    <t>Open Local HPT900</t>
  </si>
  <si>
    <t>Open Cloud HPT900</t>
  </si>
  <si>
    <t>Open Local NTS900</t>
  </si>
  <si>
    <t>Open Cloud NTS900</t>
  </si>
  <si>
    <t>Open Local NTV900</t>
  </si>
  <si>
    <t>Open Cloud NTV900</t>
  </si>
  <si>
    <t>Open Local NTR900</t>
  </si>
  <si>
    <t>Open Cloud NTR900</t>
  </si>
  <si>
    <t>Open Local NTT900</t>
  </si>
  <si>
    <t>Open Cloud NTT900</t>
  </si>
  <si>
    <t>Liên kết đến cloud</t>
  </si>
  <si>
    <t xml:space="preserve">Ngày </t>
  </si>
  <si>
    <t>Tên khách</t>
  </si>
  <si>
    <t>Số điện thoại</t>
  </si>
  <si>
    <t xml:space="preserve">Địa chỉ </t>
  </si>
  <si>
    <t>Thông tin đơn</t>
  </si>
  <si>
    <t>Tiền cọc</t>
  </si>
  <si>
    <t>Tổng đơn</t>
  </si>
  <si>
    <t>Thu còn lại</t>
  </si>
  <si>
    <t>Hoa hồng</t>
  </si>
  <si>
    <t>Ghi chú</t>
  </si>
  <si>
    <t>Tổng</t>
  </si>
  <si>
    <t>1. Mãng cầu gai Mexico/k.lồ</t>
  </si>
  <si>
    <t>2. Mãng cầu lisa</t>
  </si>
  <si>
    <t>có sẵn</t>
  </si>
  <si>
    <t>3. Na sầu riêng</t>
  </si>
  <si>
    <t>4. Na cam</t>
  </si>
  <si>
    <t>5. Na Nam Mỹ</t>
  </si>
  <si>
    <t>6. Na atemoya geffner</t>
  </si>
  <si>
    <t>7. Na pink ilama</t>
  </si>
  <si>
    <t>1. Vải không hạt</t>
  </si>
  <si>
    <t>2. Vải khổng lồ</t>
  </si>
  <si>
    <t>1. Hạt bao báp</t>
  </si>
  <si>
    <t>2. Hạt hoa sứ khổng lồ Nhật Bản</t>
  </si>
  <si>
    <t>3. Hạt đu đủ Amazon</t>
  </si>
  <si>
    <t>4. Hạt đu đủ var</t>
  </si>
  <si>
    <t>5. Lúa hồng pink lady</t>
  </si>
  <si>
    <t>6. Lúa var</t>
  </si>
  <si>
    <t>7. Thiên tuế lá bạc</t>
  </si>
  <si>
    <t>8. Hạt dẻ cười</t>
  </si>
  <si>
    <t>hết hàng</t>
  </si>
  <si>
    <t>9. Bí ruột xanh</t>
  </si>
  <si>
    <t>10. Bí nhật bản Red kuri</t>
  </si>
  <si>
    <t>11. BÍ Nhật bản delica kabocha squash</t>
  </si>
  <si>
    <t>5 hạt/set</t>
  </si>
  <si>
    <t>8. Hoa đậu biếc nhiều màu mới giá từ 49k/set</t>
  </si>
  <si>
    <t>1 dark pink-3 hạt -49k</t>
  </si>
  <si>
    <t>2 blue double (cánh kép)-2 hạt 49k</t>
  </si>
  <si>
    <t>3 light pink-2 hạt 49k</t>
  </si>
  <si>
    <t>4 pastel blue (cánh đơn)-10 hạt-69k-hết hàng</t>
  </si>
  <si>
    <t>5 cẩm thạch- 5 hạt 69k</t>
  </si>
  <si>
    <t>6 pastel tím-5 hạt-69k</t>
  </si>
  <si>
    <t>9. Nhãn Sầu riêng</t>
  </si>
  <si>
    <t>1. trái xanh</t>
  </si>
  <si>
    <t>2. trái vàng</t>
  </si>
  <si>
    <t>3. trái đỏ</t>
  </si>
  <si>
    <t>4. trái tim</t>
  </si>
  <si>
    <t>Các loại hoa:</t>
  </si>
  <si>
    <t>mai xanh thân gỗ/kim cương tím bụi 70 cm</t>
  </si>
  <si>
    <t>mai xanh thân gỗ/kim cương tím 40 cm</t>
  </si>
  <si>
    <t>350-390</t>
  </si>
  <si>
    <t>suối hồng/ mưa hồng</t>
  </si>
  <si>
    <t>mộc lan chịu nhiệt màu hồng tím</t>
  </si>
  <si>
    <t>moc lan chịu nhiệt màu đỏ</t>
  </si>
  <si>
    <t>Mộc lan hồng nhạt</t>
  </si>
  <si>
    <t>Mộc lan vàng</t>
  </si>
  <si>
    <t>order</t>
  </si>
  <si>
    <t>nữ hoàng sikirit</t>
  </si>
  <si>
    <t>hoàng hậu cầu vồng</t>
  </si>
  <si>
    <t>đang về</t>
  </si>
  <si>
    <t>hoàng hậu trắng</t>
  </si>
  <si>
    <t>hoa nhện vàng</t>
  </si>
  <si>
    <t>Sem</t>
  </si>
  <si>
    <t>Các loại cây decor</t>
  </si>
  <si>
    <t>hạt giống hươu cao cổ</t>
  </si>
  <si>
    <t>dương sỉ thòng sabai nang size M</t>
  </si>
  <si>
    <t>dương sỉ thòng sabai nang size XL</t>
  </si>
  <si>
    <t>1500-2000</t>
  </si>
  <si>
    <t>râu rồng size L mọc từ đáy chậu</t>
  </si>
  <si>
    <t>râu rồng size M mọc từ miệng chậu</t>
  </si>
  <si>
    <t>tóc tiên 1 kg</t>
  </si>
  <si>
    <t>MXTG900</t>
  </si>
  <si>
    <t>MXTG9001</t>
  </si>
  <si>
    <t>SH900</t>
  </si>
  <si>
    <t>MLCNMHT900</t>
  </si>
  <si>
    <t>MLCNMD900</t>
  </si>
  <si>
    <t>MLHN900</t>
  </si>
  <si>
    <t>MLV900</t>
  </si>
  <si>
    <t>NHS900</t>
  </si>
  <si>
    <t>HHCV900</t>
  </si>
  <si>
    <t>HHT900</t>
  </si>
  <si>
    <t>HNV900</t>
  </si>
  <si>
    <t>S900</t>
  </si>
  <si>
    <t>HGHCC900</t>
  </si>
  <si>
    <t>DSTSNSM</t>
  </si>
  <si>
    <t>DSTSNSXL</t>
  </si>
  <si>
    <t>RRSLMTDC</t>
  </si>
  <si>
    <t>RRSMMTMC</t>
  </si>
  <si>
    <t>TT1</t>
  </si>
  <si>
    <t>TT10</t>
  </si>
  <si>
    <t>TT20</t>
  </si>
  <si>
    <t>Open Local MXTG900</t>
  </si>
  <si>
    <t>Open Cloud MXTG900</t>
  </si>
  <si>
    <t>Open Local MXTG9001</t>
  </si>
  <si>
    <t>Open Cloud MXTG9001</t>
  </si>
  <si>
    <t>Open Local SH900</t>
  </si>
  <si>
    <t>Open Cloud SH900</t>
  </si>
  <si>
    <t>Open Local MLCNMHT900</t>
  </si>
  <si>
    <t>Open Cloud MLCNMHT900</t>
  </si>
  <si>
    <t>Open Local MLCNMD900</t>
  </si>
  <si>
    <t>Open Cloud MLCNMD900</t>
  </si>
  <si>
    <t>Open Local MLHN900</t>
  </si>
  <si>
    <t>Open Cloud MLHN900</t>
  </si>
  <si>
    <t>Open Local MLV900</t>
  </si>
  <si>
    <t>Open Cloud MLV900</t>
  </si>
  <si>
    <t>Open Local NHS900</t>
  </si>
  <si>
    <t>Open Cloud NHS900</t>
  </si>
  <si>
    <t>Open Local HHCV900</t>
  </si>
  <si>
    <t>Open Cloud HHCV900</t>
  </si>
  <si>
    <t>Open Local HHT900</t>
  </si>
  <si>
    <t>Open Cloud HHT900</t>
  </si>
  <si>
    <t>Open Local HNV900</t>
  </si>
  <si>
    <t>Open Cloud HNV900</t>
  </si>
  <si>
    <t>Open Local S900</t>
  </si>
  <si>
    <t>Open Cloud S900</t>
  </si>
  <si>
    <t>Open Local HGHCC900</t>
  </si>
  <si>
    <t>Open Cloud HGHCC900</t>
  </si>
  <si>
    <t>Open Local DSTSNSM</t>
  </si>
  <si>
    <t>Open Cloud DSTSNSM</t>
  </si>
  <si>
    <t>Open Local DSTSNSXL</t>
  </si>
  <si>
    <t>Open Cloud DSTSNSXL</t>
  </si>
  <si>
    <t>Open Local RRSLMTDC</t>
  </si>
  <si>
    <t>Open Cloud RRSLMTDC</t>
  </si>
  <si>
    <t>Open Local RRSMMTMC</t>
  </si>
  <si>
    <t>Open Cloud RRSMMTMC</t>
  </si>
  <si>
    <t>Open Local TT1</t>
  </si>
  <si>
    <t>Open Cloud TT1</t>
  </si>
  <si>
    <t>Open Local TT10</t>
  </si>
  <si>
    <t>Open Cloud TT10</t>
  </si>
  <si>
    <t>Open Local TT20</t>
  </si>
  <si>
    <t>Open Cloud TT20</t>
  </si>
  <si>
    <t>hoa nhện đỏ</t>
  </si>
  <si>
    <t>HND900</t>
  </si>
  <si>
    <t>Open Local HND900</t>
  </si>
  <si>
    <t>Open Cloud HND900</t>
  </si>
  <si>
    <t>CPH900</t>
  </si>
  <si>
    <t>Open Local CPH900</t>
  </si>
  <si>
    <t>Open Cloud CPH900</t>
  </si>
  <si>
    <t>Chuối pháo hồng/sexy pink</t>
  </si>
  <si>
    <t>CCH900</t>
  </si>
  <si>
    <t>Open Local CCH900</t>
  </si>
  <si>
    <t>Open Cloud CCH900</t>
  </si>
  <si>
    <t>Chuối cá hồng/ edenpink</t>
  </si>
  <si>
    <t>Chuối pháo hồng/sexy pink  3 thân ( sỉ là 59k/1than)</t>
  </si>
  <si>
    <t>CPHSX900</t>
  </si>
  <si>
    <t>Open Local CPHSX900</t>
  </si>
  <si>
    <t>Open Cloud CPHSX900</t>
  </si>
  <si>
    <t>3. Kim cương (red kimjiju 5)</t>
  </si>
  <si>
    <t>7. Ổi đốm kim cương</t>
  </si>
  <si>
    <t>Ổi đốm kim cương</t>
  </si>
  <si>
    <t>ODKC900</t>
  </si>
  <si>
    <t>Open Local ODKC900</t>
  </si>
  <si>
    <t>Open Cloud ODKC900</t>
  </si>
  <si>
    <t>Lisa -Na do thái</t>
  </si>
  <si>
    <t>geffner( do thái xanh)</t>
  </si>
  <si>
    <t>Red geffner( do thái đỏ)</t>
  </si>
  <si>
    <t>ilama( tình nhân)</t>
  </si>
  <si>
    <t>ap2</t>
  </si>
  <si>
    <t>LSNDT900</t>
  </si>
  <si>
    <t>RGNDT900</t>
  </si>
  <si>
    <t>GNDT900</t>
  </si>
  <si>
    <t>ILNDT900</t>
  </si>
  <si>
    <t>AP2NDT900</t>
  </si>
  <si>
    <t>Open Local LSNDT900</t>
  </si>
  <si>
    <t>Open Cloud LSNDT900</t>
  </si>
  <si>
    <t>Open Local RGNDT900</t>
  </si>
  <si>
    <t>Open Cloud RGNDT900</t>
  </si>
  <si>
    <t>Open Local GNDT900</t>
  </si>
  <si>
    <t>Open Cloud GNDT900</t>
  </si>
  <si>
    <t>Open Local ILNDT900</t>
  </si>
  <si>
    <t>Open Cloud ILNDT900</t>
  </si>
  <si>
    <t>Open Local AP2NDT900</t>
  </si>
  <si>
    <t>Open Cloud AP2NDT900</t>
  </si>
  <si>
    <t>Mận Honney Rose</t>
  </si>
  <si>
    <t>MHR900</t>
  </si>
  <si>
    <t>Open Local MHR900</t>
  </si>
  <si>
    <t>Open Cloud MHR900</t>
  </si>
  <si>
    <t xml:space="preserve">Cây ăn quả </t>
  </si>
  <si>
    <t>CAQ900</t>
  </si>
  <si>
    <t>Open Local CAQ900</t>
  </si>
  <si>
    <t>Open Cloud CAQ900</t>
  </si>
  <si>
    <t>Bảng thống kê đơn hàng</t>
  </si>
  <si>
    <t>STT</t>
  </si>
  <si>
    <t>Data entry form</t>
  </si>
  <si>
    <t>Tên khách hàng:</t>
  </si>
  <si>
    <t>Số điện thoại:</t>
  </si>
  <si>
    <t>Địa chỉ:</t>
  </si>
  <si>
    <t>Loại cây:</t>
  </si>
  <si>
    <t>Tên cây 1:</t>
  </si>
  <si>
    <t>Tên cây 2:</t>
  </si>
  <si>
    <t>Tên cây 3:</t>
  </si>
  <si>
    <t>Tên cây 4:</t>
  </si>
  <si>
    <t>Ghi chú:</t>
  </si>
  <si>
    <t>Hồng quân không gai</t>
  </si>
  <si>
    <t>HQKG300</t>
  </si>
  <si>
    <t>Open Local HQKG300</t>
  </si>
  <si>
    <t>Open Cloud HQKG300</t>
  </si>
  <si>
    <t>Trần Ngọc Bảo Minh</t>
  </si>
  <si>
    <t>0377896889</t>
  </si>
  <si>
    <t xml:space="preserve">Chanh nho lemon vine x 1 (250k); </t>
  </si>
  <si>
    <t>Ms An</t>
  </si>
  <si>
    <t>0947658868</t>
  </si>
  <si>
    <t>125 Mỹ Hào, P.Tân Phong, Q7</t>
  </si>
  <si>
    <t xml:space="preserve">Mận Dalhari x 1 (450k); Mận Green Giant x 1 (600k); Táo đỏ Ấn Độ x 1 (290k); </t>
  </si>
  <si>
    <t>Mr Thọ</t>
  </si>
  <si>
    <t>0772550010</t>
  </si>
  <si>
    <t>Hẻm 1 nguyễn xiển, vĩnh ngọc - nha trang</t>
  </si>
  <si>
    <t>Tiền cọc:</t>
  </si>
  <si>
    <t>Nguyễn Hiếu</t>
  </si>
  <si>
    <t>0327750915</t>
  </si>
  <si>
    <t>Số 139 Xóm Cầu - Thôn Cổ Điển-Xã Hải Bối - Đông Anh - Hà Nội Cửa hàng Hạnh Thịnh, chân cầu Thăng Long bờ bắc, Gần điện máy xanh ạ)</t>
  </si>
  <si>
    <t xml:space="preserve">Chanh nho lemon vine x 2 (250k); </t>
  </si>
  <si>
    <t>Đậu Hồng Phú</t>
  </si>
  <si>
    <t>0967570530</t>
  </si>
  <si>
    <t>106 thôn 2 xã eaktur tỉnh daklak</t>
  </si>
  <si>
    <t xml:space="preserve">Jocote/oliu đỏ x 1 (379k); </t>
  </si>
  <si>
    <t>Anh Cường</t>
  </si>
  <si>
    <t>0919440335</t>
  </si>
  <si>
    <t>09 nguyễn siêu phường 7 tp đà lạt</t>
  </si>
  <si>
    <t>Set 5 hat</t>
  </si>
  <si>
    <t xml:space="preserve">BÍ Nhật bản delica kabocha squash x 1 (139k); </t>
  </si>
  <si>
    <t>Cô Lynk</t>
  </si>
  <si>
    <t>0987810679</t>
  </si>
  <si>
    <t>10-12 Đinh Tiên Hoàng, phường Sài Gòn, Quận 1, Hồ Chí Minh ( ĐH KHXHNV)</t>
  </si>
  <si>
    <t xml:space="preserve">Emmanuel Patricio ( Ms. Như ANS) </t>
  </si>
  <si>
    <t xml:space="preserve">0865 060 190 </t>
  </si>
  <si>
    <t>68 Hồng Đô, Phú Đô, Nam Từ Liêm, Hà Nội.</t>
  </si>
  <si>
    <t xml:space="preserve">Mận Dalhari x 1 (450k); Mận Green Giant x 1 (600k); Sugar barbie - x 1 (690k); </t>
  </si>
  <si>
    <t>Nguyễn Ngọc Tám</t>
  </si>
  <si>
    <t>0947843380</t>
  </si>
  <si>
    <t>Thôn 2 -tân lâm- di linh- lâm đồng (Cạch trạm dừng chân ruby trên đường 725)</t>
  </si>
  <si>
    <t xml:space="preserve">Chanh nho lemon vine x 1 (250k); Pupunha x 1 (480k); Jocote/oliu đỏ x 1 (379k); </t>
  </si>
  <si>
    <t>Lê Anh</t>
  </si>
  <si>
    <t>0947717386</t>
  </si>
  <si>
    <t>Ấp 3 xã bình lợi- huyện vĩnh cữu- tỉnh đồng nai</t>
  </si>
  <si>
    <t xml:space="preserve">Chuối cá hồng/ edenpink x 1 (430k); </t>
  </si>
  <si>
    <t>Hà Quyên</t>
  </si>
  <si>
    <t>0988751578</t>
  </si>
  <si>
    <t>Thôn Bản Ba Xã Tri Phú Tuyên Quang</t>
  </si>
  <si>
    <t>Đinh Văn Ngọc</t>
  </si>
  <si>
    <t>0919355588</t>
  </si>
  <si>
    <t>nhà NV06 Khu đô thị mới Trung Văn (cạnh trường OLIMPIA) Phường Đại Mỗ ( Trung Văn, quận Nam Từ Liêm cũ) Hà Nội</t>
  </si>
  <si>
    <t xml:space="preserve">Măng cụt vàng x 1 (650k); Táo đỏ Ấn Độ x 2 (290k); Cam cherry x 2 (390k); </t>
  </si>
  <si>
    <t>0983100183</t>
  </si>
  <si>
    <t>434/8/6 phạm văn chiêu, phường thông Tây hội, quận gò vấp</t>
  </si>
  <si>
    <t>Hoa cánh bướm</t>
  </si>
  <si>
    <t>HCB900</t>
  </si>
  <si>
    <t>Cây hoa</t>
  </si>
  <si>
    <t xml:space="preserve">Hoa cánh bướm x 1 (129k); </t>
  </si>
  <si>
    <t>Thạch Nguyễn</t>
  </si>
  <si>
    <t>0928999682</t>
  </si>
  <si>
    <t>Thôn Viên Ngoại Xã Nam Hồng, Huyện Tiền Hải, Tỉnh Thái Bình</t>
  </si>
  <si>
    <t>Cây cảnh</t>
  </si>
  <si>
    <t>Hoa nhện đỏ</t>
  </si>
  <si>
    <t>Tóc tiên 1 kg</t>
  </si>
  <si>
    <t xml:space="preserve">Tóc tiên 10 kg </t>
  </si>
  <si>
    <t xml:space="preserve">Tóc tiên 20 kg </t>
  </si>
  <si>
    <t>Vũ Duy-Fb</t>
  </si>
  <si>
    <t/>
  </si>
  <si>
    <t>Thanh Trang</t>
  </si>
  <si>
    <t>0906 675 750</t>
  </si>
  <si>
    <t xml:space="preserve">Hòa Bình, Sông Lũy, Bắc Bình, Bình Thuận </t>
  </si>
  <si>
    <t>Chuối cá hồng/ edenpink 5 thân</t>
  </si>
  <si>
    <t xml:space="preserve">Chuối cá hồng/ edenpink x 1 (0k); Chuối pháo hồng/sexy pink x 1 (210k); </t>
  </si>
  <si>
    <t>Ngọc Bích</t>
  </si>
  <si>
    <t xml:space="preserve"> 0912217228 </t>
  </si>
  <si>
    <t>số 26, ngách 27, ngõ 100, Ngõ Chợ Khâm Thiên, Đống Đa, Hà Nội</t>
  </si>
  <si>
    <t>Nam Nguyên</t>
  </si>
  <si>
    <t>0989633323</t>
  </si>
  <si>
    <t>Khách tới tiệm</t>
  </si>
  <si>
    <t>Cây hồng quân</t>
  </si>
  <si>
    <t>Thanh Thanh</t>
  </si>
  <si>
    <t>0382873107</t>
  </si>
  <si>
    <t>"
Đ/C: Thôn đồng tháp , xã phú trung , tỉnh đồng nai"</t>
  </si>
  <si>
    <t xml:space="preserve">râu rồng size L mọc từ đáy chậu x 2 (350k); </t>
  </si>
  <si>
    <t>PV Quốc</t>
  </si>
  <si>
    <t xml:space="preserve">0918386474 </t>
  </si>
  <si>
    <t>B7-08, đường số 2B, KDC Nam Long, phường Hưng Thạnh, quận Cái Răng, TP Cần Thơ</t>
  </si>
  <si>
    <t>0931005656</t>
  </si>
  <si>
    <t xml:space="preserve">74  Nguyễn Văn Thiệt p4 TP Vĩnh Long </t>
  </si>
  <si>
    <t xml:space="preserve">suối hồng/ mưa hồng x 1 (390k); </t>
  </si>
  <si>
    <t>Cây hươu cao cổ x 1</t>
  </si>
  <si>
    <t>Từ Khái Vinh</t>
  </si>
  <si>
    <t>0919455533</t>
  </si>
  <si>
    <t>286 - Trần Hưng Đạo - Phan Rí Cửa - Lâm Đồng ( Phan Rí Cửa - Tuy Phong - Bình Thuận cũ)</t>
  </si>
  <si>
    <t xml:space="preserve">Trâm không hạt x 1 (490k); </t>
  </si>
  <si>
    <t>Nguyễn Hữu Chữ</t>
  </si>
  <si>
    <t>0985255607</t>
  </si>
  <si>
    <t xml:space="preserve">Tổ 1 Ấp 4, xã Xuân Tây, Huyện Cẩm Mỹ, Tỉnh Đồng Nai </t>
  </si>
  <si>
    <t xml:space="preserve">Me ruột đỏ x 1 (370k); </t>
  </si>
  <si>
    <t>Nguyễn Văn Nam</t>
  </si>
  <si>
    <t>0982436349</t>
  </si>
  <si>
    <t>Bến xe Futa Mỹ Đình</t>
  </si>
  <si>
    <t xml:space="preserve">Mận Dalhari x 1 (450k); </t>
  </si>
  <si>
    <t>1 cây dalhari 380k</t>
  </si>
  <si>
    <t>Kim Chi</t>
  </si>
  <si>
    <t>0938442322</t>
  </si>
  <si>
    <t>Số 18, đường 12, phường Long Thạnh Mỹ</t>
  </si>
  <si>
    <t>Open Local HCB900</t>
  </si>
  <si>
    <t>Open Cloud HCB900</t>
  </si>
  <si>
    <t>Cây hươu cao cổ ( 40-50cm)</t>
  </si>
  <si>
    <t>CHCC900</t>
  </si>
  <si>
    <t>Open Local CHCC900</t>
  </si>
  <si>
    <t>Open Cloud CHCC900</t>
  </si>
  <si>
    <t>Nào hàng về điện khách</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</si>
  <si>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</si>
  <si>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</si>
  <si>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</si>
  <si>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</si>
  <si>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</si>
  <si>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</si>
  <si>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</si>
  <si>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</si>
  <si>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</si>
  <si>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</si>
  <si>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</si>
  <si>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</si>
  <si>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</si>
  <si>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</si>
  <si>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</si>
  <si>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</si>
  <si>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</si>
  <si>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</si>
  <si>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</si>
  <si>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</si>
  <si>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</si>
  <si>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</si>
  <si>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</si>
  <si>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</si>
  <si>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</si>
  <si>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</si>
  <si>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</si>
  <si>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</si>
  <si>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</si>
  <si>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22/7</t>
  </si>
  <si>
    <t>23/7</t>
  </si>
  <si>
    <t>24/7</t>
  </si>
  <si>
    <t>Thành Trung</t>
  </si>
  <si>
    <t>0392560290</t>
  </si>
  <si>
    <t>1 cây nhãn indo trắng 450k</t>
  </si>
  <si>
    <t>24 , Đường Đông Hưng Thuận 17 , Q12 cũ ( giáp Ng Văn Quá )</t>
  </si>
  <si>
    <t>25/7</t>
  </si>
  <si>
    <t>26/7</t>
  </si>
  <si>
    <t xml:space="preserve">Thạch cỏ x 1 (270k); BÍ Nhật bản delica kabocha squash x 1 (139k); </t>
  </si>
  <si>
    <t>27/7</t>
  </si>
  <si>
    <t>28/7</t>
  </si>
  <si>
    <t>29/7</t>
  </si>
  <si>
    <t>30/7</t>
  </si>
  <si>
    <t>Thuy Duong - Lê Thị Út Lành</t>
  </si>
  <si>
    <t>2 cây thạch cỏ</t>
  </si>
  <si>
    <t>Chanh nho lemon vine x 1 (250k); 1 tùng hồng 170k</t>
  </si>
  <si>
    <t>31/7</t>
  </si>
  <si>
    <t>30</t>
  </si>
  <si>
    <t>31</t>
  </si>
  <si>
    <t>32</t>
  </si>
  <si>
    <t>Chả Lụa Hồng Ngọc</t>
  </si>
  <si>
    <t xml:space="preserve"> 0988510316</t>
  </si>
  <si>
    <t xml:space="preserve">15 ap phong thuan xa tan my chanh, TP Mỹ Tho, Tiền Giang </t>
  </si>
  <si>
    <t>1 cây trâm xanh 550k</t>
  </si>
  <si>
    <t>Ngọc Hân</t>
  </si>
  <si>
    <t>0815458273</t>
  </si>
  <si>
    <t>195, tổ 4, khu phố Bà Tri, phường Tân Hiệp, Tân Uyên, Bình Dương</t>
  </si>
  <si>
    <t xml:space="preserve">1 ổi kim cương 390k </t>
  </si>
  <si>
    <t>chung cư mỹ đức 220 xo viet nghe tinh p21 bình thạnh</t>
  </si>
  <si>
    <t>Lê Đình Phương</t>
  </si>
  <si>
    <t>0932019299</t>
  </si>
  <si>
    <t>P6, TP. Bến tre</t>
  </si>
  <si>
    <t>futa cod</t>
  </si>
  <si>
    <t xml:space="preserve">Chanh nho lemon vine x 1 (250k); Táo đỏ Ấn Độ x 1 (290k); </t>
  </si>
  <si>
    <t>0869698402</t>
  </si>
  <si>
    <t>Lâm Gia Thy</t>
  </si>
  <si>
    <t xml:space="preserve"> bách hóa xanh thị trấn Huỳnh Hữu Nghĩa mỹ tú Sóc Trăng</t>
  </si>
  <si>
    <t>Đinh Thu trang</t>
  </si>
  <si>
    <t>0964273378</t>
  </si>
  <si>
    <t xml:space="preserve">AnQ home nhà xám, đối diện trường happy kid, ấp lê bát, xã cửa cạn, phu quoc . kiên giang. </t>
  </si>
  <si>
    <t xml:space="preserve">Xoài “Trứng mặt trời” x 2 (450k); ap2 x 2 (450k); Táo 16 x 2 (399k); </t>
  </si>
  <si>
    <t>8 Thân chuối sexy pink</t>
  </si>
  <si>
    <t>Fb Hoa Sen Trắng</t>
  </si>
  <si>
    <t>50 thân chuối sexy pink</t>
  </si>
  <si>
    <t>Hồng Hân Đoàn</t>
  </si>
  <si>
    <t>0898418540</t>
  </si>
  <si>
    <t>1A5/I1/14, đường N5, kdc Phú Hồng Lộc - Phú Hồng Phát, phường Thuận Giao, tp Thuận An, Bình Dương</t>
  </si>
  <si>
    <t xml:space="preserve">Ổi đỏ Ayothaya x 1 (269k); </t>
  </si>
  <si>
    <t>Bơ dưa leo</t>
  </si>
  <si>
    <t>39k / hạt</t>
  </si>
  <si>
    <t>319k/cây</t>
  </si>
  <si>
    <t>ngưng nhập</t>
  </si>
  <si>
    <t>BDL900</t>
  </si>
  <si>
    <t>Open Local BDL900</t>
  </si>
  <si>
    <t>Open Cloud BDL900</t>
  </si>
  <si>
    <t>0907 689 209</t>
  </si>
  <si>
    <t>Cái Mơn</t>
  </si>
  <si>
    <t>0964243174</t>
  </si>
  <si>
    <t>Đặng Quyền</t>
  </si>
  <si>
    <t xml:space="preserve">Đường số 2-phước trung-tam an-long đất bà rịa vũng tàu </t>
  </si>
  <si>
    <t>Như</t>
  </si>
  <si>
    <t xml:space="preserve">Chuối pháo hồng/sexy pink x 1 (210k); </t>
  </si>
  <si>
    <t>Trần Nguyễn Nhật Nam</t>
  </si>
  <si>
    <t>0937238327</t>
  </si>
  <si>
    <t>74 đường N1 KDC Mega Village, KP 3, phường Phú Hữu, Quận 9, TP HCM</t>
  </si>
  <si>
    <t>cây 50-60cm</t>
  </si>
  <si>
    <t xml:space="preserve">Nguyễn văn Quế </t>
  </si>
  <si>
    <t xml:space="preserve"> 0906211288</t>
  </si>
  <si>
    <t>67 Đặng Thùy Trâm - phường Nghĩa đô - hà nội</t>
  </si>
  <si>
    <t>NSR900</t>
  </si>
  <si>
    <t>Nguyễn Văn Vĩnh</t>
  </si>
  <si>
    <t xml:space="preserve">Xoài dừa x 1 (450k); Me khổng lồ x 1 (350k); </t>
  </si>
  <si>
    <t>Trần Thanh Trúc</t>
  </si>
  <si>
    <t>0939413818</t>
  </si>
  <si>
    <t>305 nguyễn văn cừ, phường an hoà quận ninh kiều cần thơ</t>
  </si>
  <si>
    <t>Open Local NSR900</t>
  </si>
  <si>
    <t>Open Cloud NSR900</t>
  </si>
  <si>
    <t>Nguyễn Văn Cường</t>
  </si>
  <si>
    <t>09 Nguyễn Siêu, Phường 7, TP. Đà Lạt</t>
  </si>
  <si>
    <t>21. Black pearl</t>
  </si>
  <si>
    <t>15. Red ivory</t>
  </si>
  <si>
    <t>tóc tiên 10 kg x</t>
  </si>
  <si>
    <t>tóc tiên 20 kg x</t>
  </si>
  <si>
    <t>Black pearl</t>
  </si>
  <si>
    <t>BP301</t>
  </si>
  <si>
    <t>Red ivory</t>
  </si>
  <si>
    <t>XRI100</t>
  </si>
  <si>
    <t>Open Local BP301</t>
  </si>
  <si>
    <t>Open Cloud BP301</t>
  </si>
  <si>
    <t>Open Local XRI100</t>
  </si>
  <si>
    <t>Open Cloud XRI100</t>
  </si>
  <si>
    <t>1 chậu chuối sexy pink 18-29 thân</t>
  </si>
  <si>
    <t>1 chậu chuối sexy pink 30 thân</t>
  </si>
  <si>
    <t>CCSP20</t>
  </si>
  <si>
    <t>CCSP30</t>
  </si>
  <si>
    <t>Open Local CCSP20</t>
  </si>
  <si>
    <t>Open Cloud CCSP20</t>
  </si>
  <si>
    <t>Open Local CCSP30</t>
  </si>
  <si>
    <t>Open Cloud CCSP30</t>
  </si>
  <si>
    <t xml:space="preserve">Red ivory x 1 (450k); Black pearl x 1 (650k); Táo 16 x 1 (399k); </t>
  </si>
  <si>
    <t>Note: Đang đi công tác, khoảng giữa tuần sau giao</t>
  </si>
  <si>
    <t>0857597987</t>
  </si>
  <si>
    <t>Yến Nguyễn</t>
  </si>
  <si>
    <t>Đức đoài - đức minh- đăk mil- đăk nông</t>
  </si>
  <si>
    <t xml:space="preserve">Trâm không hạt x 1 (490k); Táo 16 x 1 (399k); </t>
  </si>
  <si>
    <t>0903339268</t>
  </si>
  <si>
    <t xml:space="preserve"> 83B Trần Kế Xương, P7, Phú nhuận. </t>
  </si>
  <si>
    <t>Lan Trần</t>
  </si>
  <si>
    <t>0965429050</t>
  </si>
  <si>
    <t>ấp 4 xã Mỹ quý Tây, Đức Huệ, Long An</t>
  </si>
  <si>
    <t>Trúc ( Kim Lâm)</t>
  </si>
  <si>
    <t xml:space="preserve">Táo đỏ Ấn Độ x 2 (290k); </t>
  </si>
  <si>
    <t>Dương xỉ Sabai Nang combo 10c</t>
  </si>
  <si>
    <t>DSSN900</t>
  </si>
  <si>
    <t>DSSN901</t>
  </si>
  <si>
    <t>Dương xỉ Sabai Nang lẻ 1c</t>
  </si>
  <si>
    <t>Open Local DSSN900</t>
  </si>
  <si>
    <t>Open Cloud DSSN900</t>
  </si>
  <si>
    <t>Open Local DSSN901</t>
  </si>
  <si>
    <t>Open Cloud DSSN901</t>
  </si>
  <si>
    <t>tối thiểu 299k/cay</t>
  </si>
  <si>
    <t>AnQ home nhà xám, đối diện trường happy kid, ấp lê bát, xã cửa cạn, phu quoc . kiên giang.</t>
  </si>
  <si>
    <t>0978118860</t>
  </si>
  <si>
    <t>Chị Hoàng Yến</t>
  </si>
  <si>
    <t xml:space="preserve">Chung cư moscow Tower, Tân Thới nhất, Q12.  </t>
  </si>
  <si>
    <t>Chanh nho lemon vine x 1 (250k); 1 giá thể trồng loại cây phổ thông túi 2kg</t>
  </si>
  <si>
    <t>Hồng quân không gai/ hồng quân cây to 550</t>
  </si>
  <si>
    <t>Na Red Cherimoya</t>
  </si>
  <si>
    <t>NRCHEI</t>
  </si>
  <si>
    <t>Open Local NRCHEI</t>
  </si>
  <si>
    <t>Open Cloud NRCHEI</t>
  </si>
  <si>
    <t>Chuối Namwa đen</t>
  </si>
  <si>
    <t>CNW900</t>
  </si>
  <si>
    <t>NRCHEI900</t>
  </si>
  <si>
    <t>Open Local NRCHEI900</t>
  </si>
  <si>
    <t>Open Cloud NRCHEI900</t>
  </si>
  <si>
    <t>Open Local CNW900</t>
  </si>
  <si>
    <t>Open Cloud CNW900</t>
  </si>
  <si>
    <t>Chuối pháo hồng/sexy pink x 1 (2200k); Táo đỏ Ấn Độ x 2 (290k); Táo 16 x 2 (399k); 2 hồng quân kh gai lớn (550k)</t>
  </si>
  <si>
    <t xml:space="preserve">Đỗ Đức Cương </t>
  </si>
  <si>
    <t>0343170080</t>
  </si>
  <si>
    <t>Tổ 6, Trang Hoàng, Xuyên Mộc, Bà Rịa - Vũng Tàu ( TP. HCM mới )</t>
  </si>
  <si>
    <t xml:space="preserve">Trâm khổng lồ x 1 (350k); </t>
  </si>
  <si>
    <t>Bơ dưa leo x 2 (350k)</t>
  </si>
  <si>
    <t>Nguyễn Đình Hùng</t>
  </si>
  <si>
    <t>0904667782</t>
  </si>
  <si>
    <t>Số 37, đường Lê Hồng Phòng, TP Vinh, Nghệ An</t>
  </si>
  <si>
    <t xml:space="preserve">Pupunha x 1 (480k); </t>
  </si>
  <si>
    <t>49</t>
  </si>
  <si>
    <t>13/8/2025</t>
  </si>
  <si>
    <t>nửa kg trái</t>
  </si>
  <si>
    <t>092 7652 792</t>
  </si>
  <si>
    <t>Lý Hoàng</t>
  </si>
  <si>
    <t>Số nhà 2 , ngách 23 , ngõ 235 Yên Hoà - Phường Yên Hoà , Quận Cầu Giấy , HN</t>
  </si>
  <si>
    <t>size nhỏ 180k</t>
  </si>
  <si>
    <t>0902587529</t>
  </si>
  <si>
    <t>A6.05, Block A, chung cư Green Valley, Nguyễn Đổng Chi, P. Tân Phú, Q.7</t>
  </si>
  <si>
    <t>Thanh Thảo</t>
  </si>
  <si>
    <t>size 350k</t>
  </si>
  <si>
    <t xml:space="preserve">0973566633 </t>
  </si>
  <si>
    <t>Trang</t>
  </si>
  <si>
    <t>chung cư Him Lam Nam Sài Gòn, KDC Him Lam Trung Sơn, Bình Hưng, Bình Chánh, TPHCM (đc mới: xã Bình Hưng, TPHCM)</t>
  </si>
  <si>
    <t>0934931387</t>
  </si>
  <si>
    <t>Huỳnh Trung Hiếu</t>
  </si>
  <si>
    <t>34/1 thạnh bình .phường thuận an.tphcm.</t>
  </si>
  <si>
    <t xml:space="preserve">Na  red cherimoya x 1 (390k); </t>
  </si>
  <si>
    <t>0961724525</t>
  </si>
  <si>
    <t xml:space="preserve"> Phạm Sang</t>
  </si>
  <si>
    <t>Số nhà 125_ ấp 2 _ hưng điền a _ vĩnh hưng _ long an.</t>
  </si>
  <si>
    <t>A Quang</t>
  </si>
  <si>
    <t>0939357000</t>
  </si>
  <si>
    <t>18A Đinh Công Chánh, Long tuyền, Tp Cần thơ</t>
  </si>
  <si>
    <t xml:space="preserve">0967570530 </t>
  </si>
  <si>
    <t xml:space="preserve"> Đậu Hồng Phú</t>
  </si>
  <si>
    <t>0.5 kg trái</t>
  </si>
  <si>
    <t>ổi Red lava</t>
  </si>
  <si>
    <t>ORLV900</t>
  </si>
  <si>
    <t>Open Local ORLV900</t>
  </si>
  <si>
    <t>Open Cloud ORLV900</t>
  </si>
  <si>
    <t>Nguyễn Thị Ánh Ngọc</t>
  </si>
  <si>
    <t>0933432121</t>
  </si>
  <si>
    <t>Hẻm 331 Trần Xuân Độ, Phường Bà Rịa, thành phố HCM ( Hẻm 331 Trần Xuân Độ, khu  phố 2, Phường Phước Trung, TP Bà Rịa.)</t>
  </si>
  <si>
    <t xml:space="preserve">Kim cương (red kimjiju 3 và 5) x 1 (390k); Mít ruột trắng indo x 1 (420k); </t>
  </si>
  <si>
    <t>LÊ HỮU TÍNH</t>
  </si>
  <si>
    <t>3 cây hưu cao cổ</t>
  </si>
  <si>
    <t>57</t>
  </si>
  <si>
    <t>Anh Thư</t>
  </si>
  <si>
    <t>0965112007</t>
  </si>
  <si>
    <t xml:space="preserve"> 312 đường Rừng Sác Bình Khánh Cần Giờ, TP. Hồ Chí Minh</t>
  </si>
  <si>
    <t xml:space="preserve">Táo đỏ Ấn Độ x 1 (290k); </t>
  </si>
  <si>
    <t>58</t>
  </si>
  <si>
    <t>fhhhh</t>
  </si>
  <si>
    <t>dge</t>
  </si>
  <si>
    <t>rrrr</t>
  </si>
  <si>
    <t xml:space="preserve">Táo michal x 1 (1200k); </t>
  </si>
  <si>
    <t>SL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</si>
</sst>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
    <numFmt numFmtId="165" formatCode="m/d/yy;@"/>
  </numFmts>
  <fonts count="24">
    <font>
      <sz val="10"/>
      <color rgb="FF000000"/>
      <name val="Sans"/>
    </font>
    <font>
      <b/>
      <sz val="10"/>
      <color rgb="FF000000"/>
      <name val="Sans"/>
    </font>
    <font>
      <sz val="10"/>
      <color rgb="FF000000"/>
      <name val="Aptos Narrow"/>
      <family val="2"/>
      <scheme val="minor"/>
    </font>
    <font>
      <b/>
      <sz val="10"/>
      <color rgb="FF000000"/>
      <name val="Aptos Narrow"/>
      <family val="2"/>
      <scheme val="minor"/>
    </font>
    <font>
      <sz val="10"/>
      <color theme="1"/>
      <name val="Arial"/>
      <family val="2"/>
    </font>
    <font>
      <b/>
      <sz val="10"/>
      <color theme="1"/>
      <name val="Arial"/>
      <family val="2"/>
    </font>
    <font>
      <sz val="8"/>
      <name val="Sans"/>
    </font>
    <font>
      <u/>
      <sz val="10"/>
      <color theme="10"/>
      <name val="Sans"/>
    </font>
    <font>
      <b/>
      <sz val="10"/>
      <name val="Sans"/>
    </font>
    <font>
      <b/>
      <sz val="12"/>
      <color rgb="FF000000"/>
      <name val="Sans"/>
    </font>
    <font>
      <b/>
      <sz val="20"/>
      <color rgb="FF000000"/>
      <name val="Sans"/>
    </font>
    <font>
      <sz val="10"/>
      <color rgb="FFFF0000"/>
      <name val="Sans"/>
    </font>
    <font>
      <b/>
      <sz val="10"/>
      <color rgb="FF0000FF"/>
      <name val="Sans"/>
    </font>
    <font>
      <sz val="10"/>
      <color rgb="FF000000"/>
      <name val="Times New Roman"/>
      <family val="1"/>
    </font>
    <font>
      <b/>
      <sz val="10"/>
      <color rgb="FF000000"/>
      <name val="Arial"/>
      <family val="2"/>
      <charset val="163"/>
    </font>
    <font>
      <sz val="10"/>
      <color rgb="FF000000"/>
      <name val="Arial"/>
      <family val="2"/>
      <charset val="163"/>
    </font>
    <font>
      <i/>
      <sz val="10"/>
      <color rgb="FF000000"/>
      <name val="Arial"/>
      <family val="2"/>
      <charset val="163"/>
    </font>
    <font>
      <b/>
      <sz val="12"/>
      <color rgb="FF0070C0"/>
      <name val="Sans"/>
    </font>
    <font>
      <b/>
      <sz val="10"/>
      <color rgb="FF000000"/>
      <name val="Times New Roman"/>
      <family val="1"/>
    </font>
    <font>
      <b/>
      <u/>
      <sz val="10"/>
      <color rgb="FF000000"/>
      <name val="Sans"/>
    </font>
    <font>
      <b/>
      <sz val="16"/>
      <color rgb="FF000000"/>
      <name val="Sans"/>
    </font>
    <font>
      <b/>
      <sz val="14"/>
      <color rgb="FF000000"/>
      <name val="Sans"/>
    </font>
    <font>
      <b/>
      <sz val="10"/>
      <color rgb="FF000000"/>
      <name val="Arial"/>
      <family val="2"/>
    </font>
    <font>
      <sz val="10"/>
      <color rgb="FF000000"/>
      <name val="Times New Roman"/>
      <family val="1"/>
      <charset val="163"/>
    </font>
  </fonts>
  <fills count="24">
    <fill>
      <patternFill patternType="none"/>
    </fill>
    <fill>
      <patternFill patternType="gray125"/>
    </fill>
    <fill>
      <patternFill patternType="solid">
        <fgColor rgb="FF99FF99"/>
        <bgColor indexed="64"/>
      </patternFill>
    </fill>
    <fill>
      <patternFill patternType="solid">
        <fgColor rgb="FFFF0000"/>
        <bgColor rgb="FFFF0000"/>
      </patternFill>
    </fill>
    <fill>
      <patternFill patternType="solid">
        <fgColor rgb="FFFF0000"/>
        <bgColor indexed="64"/>
      </patternFill>
    </fill>
    <fill>
      <patternFill patternType="solid">
        <fgColor rgb="FFFFFF00"/>
        <bgColor rgb="FFFFFF00"/>
      </patternFill>
    </fill>
    <fill>
      <patternFill patternType="solid">
        <fgColor rgb="FFFFFF00"/>
        <bgColor indexed="64"/>
      </patternFill>
    </fill>
    <fill>
      <patternFill patternType="solid">
        <fgColor rgb="FFFF9900"/>
        <bgColor rgb="FFFF9900"/>
      </patternFill>
    </fill>
    <fill>
      <patternFill patternType="solid">
        <fgColor rgb="FFFF9900"/>
        <bgColor indexed="64"/>
      </patternFill>
    </fill>
    <fill>
      <patternFill patternType="solid">
        <fgColor rgb="FFB6D7A8"/>
        <bgColor rgb="FFB6D7A8"/>
      </patternFill>
    </fill>
    <fill>
      <patternFill patternType="solid">
        <fgColor rgb="FFB6D7A8"/>
        <bgColor indexed="64"/>
      </patternFill>
    </fill>
    <fill>
      <patternFill patternType="solid">
        <fgColor rgb="FFD9EAD3"/>
        <bgColor rgb="FFD9EAD3"/>
      </patternFill>
    </fill>
    <fill>
      <patternFill patternType="solid">
        <fgColor rgb="FFD9EAD3"/>
        <bgColor indexed="64"/>
      </patternFill>
    </fill>
    <fill>
      <patternFill patternType="solid">
        <fgColor rgb="FFFFD966"/>
        <bgColor rgb="FFFFD966"/>
      </patternFill>
    </fill>
    <fill>
      <patternFill patternType="solid">
        <fgColor rgb="FFFFD966"/>
        <bgColor indexed="64"/>
      </patternFill>
    </fill>
    <fill>
      <patternFill patternType="solid">
        <fgColor rgb="FF00FF00"/>
        <bgColor rgb="FF00FF00"/>
      </patternFill>
    </fill>
    <fill>
      <patternFill patternType="solid">
        <fgColor rgb="FFEA9999"/>
        <bgColor rgb="FFEA9999"/>
      </patternFill>
    </fill>
    <fill>
      <patternFill patternType="solid">
        <fgColor rgb="FFBF9000"/>
        <bgColor rgb="FFBF9000"/>
      </patternFill>
    </fill>
    <fill>
      <patternFill patternType="solid">
        <fgColor rgb="FF00FF00"/>
        <bgColor indexed="64"/>
      </patternFill>
    </fill>
    <fill>
      <patternFill patternType="solid">
        <fgColor rgb="FFEA9999"/>
        <bgColor indexed="64"/>
      </patternFill>
    </fill>
    <fill>
      <patternFill patternType="solid">
        <fgColor rgb="FFBF90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ck">
        <color theme="0" tint="-0.34998626667073579"/>
      </left>
      <right/>
      <top style="thick">
        <color theme="0" tint="-0.34998626667073579"/>
      </top>
      <bottom/>
      <diagonal/>
    </border>
    <border>
      <left/>
      <right/>
      <top style="thick">
        <color theme="0" tint="-0.34998626667073579"/>
      </top>
      <bottom/>
      <diagonal/>
    </border>
    <border>
      <left/>
      <right style="thick">
        <color theme="0" tint="-0.34998626667073579"/>
      </right>
      <top style="thick">
        <color theme="0" tint="-0.34998626667073579"/>
      </top>
      <bottom/>
      <diagonal/>
    </border>
    <border>
      <left style="thick">
        <color theme="0" tint="-0.34998626667073579"/>
      </left>
      <right/>
      <top/>
      <bottom/>
      <diagonal/>
    </border>
    <border>
      <left/>
      <right/>
      <top/>
      <bottom style="thick">
        <color theme="0" tint="-0.14999847407452621"/>
      </bottom>
      <diagonal/>
    </border>
    <border>
      <left/>
      <right style="thick">
        <color theme="0" tint="-0.34998626667073579"/>
      </right>
      <top/>
      <bottom/>
      <diagonal/>
    </border>
    <border>
      <left style="thick">
        <color theme="0" tint="-0.34998626667073579"/>
      </left>
      <right style="thick">
        <color theme="0" tint="-0.14999847407452621"/>
      </right>
      <top/>
      <bottom/>
      <diagonal/>
    </border>
    <border>
      <left style="thick">
        <color theme="0" tint="-0.14999847407452621"/>
      </left>
      <right/>
      <top style="thick">
        <color theme="0" tint="-0.14999847407452621"/>
      </top>
      <bottom style="thick">
        <color theme="0" tint="-0.14999847407452621"/>
      </bottom>
      <diagonal/>
    </border>
    <border>
      <left/>
      <right/>
      <top style="thick">
        <color theme="0" tint="-0.14999847407452621"/>
      </top>
      <bottom style="thick">
        <color theme="0" tint="-0.14999847407452621"/>
      </bottom>
      <diagonal/>
    </border>
    <border>
      <left/>
      <right style="thick">
        <color theme="0" tint="-0.14999847407452621"/>
      </right>
      <top style="thick">
        <color theme="0" tint="-0.14999847407452621"/>
      </top>
      <bottom style="thick">
        <color theme="0" tint="-0.14999847407452621"/>
      </bottom>
      <diagonal/>
    </border>
    <border>
      <left style="thick">
        <color theme="0" tint="-4.9989318521683403E-2"/>
      </left>
      <right/>
      <top style="thick">
        <color theme="0" tint="-0.14999847407452621"/>
      </top>
      <bottom style="thick">
        <color theme="0" tint="-0.14999847407452621"/>
      </bottom>
      <diagonal/>
    </border>
    <border>
      <left/>
      <right/>
      <top style="thick">
        <color theme="0" tint="-0.14999847407452621"/>
      </top>
      <bottom/>
      <diagonal/>
    </border>
    <border>
      <left style="thick">
        <color theme="0" tint="-0.14999847407452621"/>
      </left>
      <right style="thick">
        <color theme="0" tint="-0.14999847407452621"/>
      </right>
      <top style="thick">
        <color theme="0" tint="-0.14999847407452621"/>
      </top>
      <bottom style="thick">
        <color theme="0" tint="-0.14999847407452621"/>
      </bottom>
      <diagonal/>
    </border>
    <border>
      <left style="thick">
        <color theme="0" tint="-0.34998626667073579"/>
      </left>
      <right/>
      <top/>
      <bottom style="thick">
        <color theme="0" tint="-0.34998626667073579"/>
      </bottom>
      <diagonal/>
    </border>
    <border>
      <left/>
      <right/>
      <top/>
      <bottom style="thick">
        <color theme="0" tint="-0.34998626667073579"/>
      </bottom>
      <diagonal/>
    </border>
    <border>
      <left/>
      <right style="thick">
        <color theme="0" tint="-0.34998626667073579"/>
      </right>
      <top/>
      <bottom style="thick">
        <color theme="0" tint="-0.34998626667073579"/>
      </bottom>
      <diagonal/>
    </border>
    <border>
      <left style="thick">
        <color theme="0" tint="-0.34998626667073579"/>
      </left>
      <right style="thin">
        <color theme="0" tint="-0.249977111117893"/>
      </right>
      <top/>
      <bottom/>
      <diagonal/>
    </border>
    <border>
      <left style="thick">
        <color theme="0" tint="-0.14999847407452621"/>
      </left>
      <right/>
      <top/>
      <bottom/>
      <diagonal/>
    </border>
    <border>
      <left style="medium">
        <color rgb="FFCCCCCC"/>
      </left>
      <right style="medium">
        <color rgb="FFCCCCCC"/>
      </right>
      <top style="medium">
        <color rgb="FFCCCCCC"/>
      </top>
      <bottom style="medium">
        <color rgb="FFCCCCCC"/>
      </bottom>
      <diagonal/>
    </border>
    <border>
      <left style="thin">
        <color indexed="64"/>
      </left>
      <right style="thin">
        <color indexed="64"/>
      </right>
      <top style="thin">
        <color indexed="64"/>
      </top>
      <bottom/>
      <diagonal/>
    </border>
    <border>
      <left style="medium">
        <color rgb="FF000000"/>
      </left>
      <right style="medium">
        <color rgb="FF000000"/>
      </right>
      <top style="medium">
        <color rgb="FF000000"/>
      </top>
      <bottom/>
      <diagonal/>
    </border>
    <border>
      <left style="medium">
        <color rgb="FFCCCCCC"/>
      </left>
      <right style="medium">
        <color rgb="FF000000"/>
      </right>
      <top style="medium">
        <color rgb="FF000000"/>
      </top>
      <bottom/>
      <diagonal/>
    </border>
  </borders>
  <cellStyleXfs count="3">
    <xf numFmtId="0" fontId="0" fillId="0" borderId="0"/>
    <xf numFmtId="0" fontId="2" fillId="0" borderId="0"/>
    <xf numFmtId="0" fontId="7" fillId="0" borderId="0" applyNumberFormat="0" applyFill="0" applyBorder="0" applyAlignment="0" applyProtection="0"/>
  </cellStyleXfs>
  <cellXfs count="174">
    <xf numFmtId="0" fontId="0" fillId="0" borderId="0" xfId="0"/>
    <xf numFmtId="0" fontId="0" fillId="0" borderId="0" xfId="0" applyAlignment="1">
      <alignment wrapText="1"/>
    </xf>
    <xf numFmtId="0" fontId="0" fillId="0" borderId="1" xfId="0" applyBorder="1" applyAlignment="1">
      <alignment vertical="top"/>
    </xf>
    <xf numFmtId="0" fontId="0" fillId="0" borderId="1" xfId="0" applyBorder="1" applyAlignment="1">
      <alignment vertical="top" wrapText="1"/>
    </xf>
    <xf numFmtId="0" fontId="0" fillId="0" borderId="0" xfId="0" applyAlignment="1">
      <alignment horizontal="center"/>
    </xf>
    <xf numFmtId="0" fontId="2" fillId="0" borderId="0" xfId="1"/>
    <xf numFmtId="0" fontId="1" fillId="0" borderId="0" xfId="0" applyFont="1"/>
    <xf numFmtId="0" fontId="1" fillId="2" borderId="1" xfId="0" applyFont="1" applyFill="1" applyBorder="1" applyAlignment="1">
      <alignment horizontal="right" vertical="top" wrapText="1"/>
    </xf>
    <xf numFmtId="0" fontId="0" fillId="0" borderId="1" xfId="0" applyBorder="1" applyAlignment="1">
      <alignment horizontal="right" vertical="top"/>
    </xf>
    <xf numFmtId="0" fontId="0" fillId="0" borderId="0" xfId="0" applyAlignment="1">
      <alignment horizontal="right" vertical="top"/>
    </xf>
    <xf numFmtId="0" fontId="1" fillId="2" borderId="1" xfId="0" applyFont="1" applyFill="1" applyBorder="1" applyAlignment="1">
      <alignment horizontal="left" vertical="top" wrapText="1"/>
    </xf>
    <xf numFmtId="0" fontId="7" fillId="0" borderId="1" xfId="2" applyBorder="1" applyAlignment="1">
      <alignment vertical="top" wrapText="1"/>
    </xf>
    <xf numFmtId="0" fontId="8" fillId="2" borderId="1" xfId="2" applyFont="1" applyFill="1" applyBorder="1" applyAlignment="1">
      <alignment horizontal="left" vertical="top" wrapText="1"/>
    </xf>
    <xf numFmtId="0" fontId="0" fillId="0" borderId="1" xfId="0" applyBorder="1"/>
    <xf numFmtId="0" fontId="1" fillId="2" borderId="1" xfId="0" applyFont="1" applyFill="1" applyBorder="1" applyAlignment="1">
      <alignment vertical="center"/>
    </xf>
    <xf numFmtId="0" fontId="1" fillId="2" borderId="1" xfId="0" applyFont="1" applyFill="1" applyBorder="1" applyAlignment="1">
      <alignment horizontal="right" vertical="center"/>
    </xf>
    <xf numFmtId="0" fontId="9" fillId="0" borderId="0" xfId="0" applyFont="1" applyAlignment="1">
      <alignment vertical="center"/>
    </xf>
    <xf numFmtId="0" fontId="0" fillId="0" borderId="0" xfId="0" quotePrefix="1"/>
    <xf numFmtId="0" fontId="1" fillId="0" borderId="0" xfId="0" quotePrefix="1" applyFont="1"/>
    <xf numFmtId="0" fontId="7" fillId="0" borderId="1" xfId="2" applyBorder="1" applyAlignment="1">
      <alignment vertical="top"/>
    </xf>
    <xf numFmtId="0" fontId="7" fillId="0" borderId="1" xfId="2" applyBorder="1"/>
    <xf numFmtId="0" fontId="0" fillId="0" borderId="0" xfId="0" applyAlignment="1">
      <alignment horizontal="center" vertical="top"/>
    </xf>
    <xf numFmtId="0" fontId="0" fillId="0" borderId="1" xfId="0" applyBorder="1" applyAlignment="1">
      <alignment horizontal="center" vertical="top"/>
    </xf>
    <xf numFmtId="0" fontId="0" fillId="0" borderId="1" xfId="0" applyBorder="1" applyAlignment="1">
      <alignment horizontal="center"/>
    </xf>
    <xf numFmtId="0" fontId="13" fillId="0" borderId="0" xfId="0" applyFont="1"/>
    <xf numFmtId="0" fontId="13" fillId="0" borderId="0" xfId="0" applyFont="1" applyAlignment="1">
      <alignment horizontal="center" vertical="top"/>
    </xf>
    <xf numFmtId="0" fontId="13" fillId="0" borderId="1" xfId="0" applyFont="1" applyBorder="1" applyAlignment="1">
      <alignment horizontal="center" vertical="top"/>
    </xf>
    <xf numFmtId="0" fontId="13" fillId="0" borderId="1" xfId="0" applyFont="1" applyBorder="1" applyAlignment="1">
      <alignment horizontal="center"/>
    </xf>
    <xf numFmtId="0" fontId="0" fillId="0" borderId="1" xfId="0" applyBorder="1" applyAlignment="1">
      <alignment wrapText="1"/>
    </xf>
    <xf numFmtId="0" fontId="2" fillId="0" borderId="0" xfId="1" applyAlignment="1">
      <alignment horizontal="right"/>
    </xf>
    <xf numFmtId="0" fontId="2" fillId="0" borderId="1" xfId="1" applyBorder="1"/>
    <xf numFmtId="0" fontId="2" fillId="0" borderId="1" xfId="1" applyBorder="1" applyAlignment="1">
      <alignment horizontal="right"/>
    </xf>
    <xf numFmtId="0" fontId="15" fillId="0" borderId="1" xfId="0" applyFont="1" applyBorder="1" applyAlignment="1">
      <alignment wrapText="1"/>
    </xf>
    <xf numFmtId="49" fontId="0" fillId="0" borderId="0" xfId="0" applyNumberFormat="1" applyAlignment="1">
      <alignment horizontal="center"/>
    </xf>
    <xf numFmtId="165" fontId="17" fillId="0" borderId="0" xfId="0" applyNumberFormat="1" applyFont="1" applyAlignment="1">
      <alignment horizontal="left" vertical="center"/>
    </xf>
    <xf numFmtId="0" fontId="18" fillId="0" borderId="0" xfId="0" applyFont="1"/>
    <xf numFmtId="0" fontId="13" fillId="0" borderId="0" xfId="0" applyFont="1" applyAlignment="1">
      <alignment horizontal="left"/>
    </xf>
    <xf numFmtId="49" fontId="0" fillId="0" borderId="0" xfId="0" applyNumberFormat="1" applyAlignment="1">
      <alignment horizontal="center" vertical="top"/>
    </xf>
    <xf numFmtId="165" fontId="1" fillId="0" borderId="0" xfId="0" applyNumberFormat="1" applyFont="1" applyAlignment="1">
      <alignment horizontal="left" vertical="top"/>
    </xf>
    <xf numFmtId="165" fontId="1" fillId="0" borderId="0" xfId="0" applyNumberFormat="1" applyFont="1" applyAlignment="1">
      <alignment vertical="top"/>
    </xf>
    <xf numFmtId="0" fontId="13" fillId="0" borderId="0" xfId="0" applyFont="1" applyAlignment="1">
      <alignment horizontal="left" vertical="top"/>
    </xf>
    <xf numFmtId="49" fontId="1" fillId="2" borderId="1" xfId="0" applyNumberFormat="1" applyFont="1" applyFill="1" applyBorder="1" applyAlignment="1">
      <alignment horizontal="center" vertical="top"/>
    </xf>
    <xf numFmtId="165" fontId="1" fillId="2" borderId="1" xfId="0" applyNumberFormat="1" applyFont="1" applyFill="1" applyBorder="1" applyAlignment="1">
      <alignment horizontal="center" vertical="top"/>
    </xf>
    <xf numFmtId="0" fontId="18" fillId="2" borderId="1" xfId="0" applyFont="1" applyFill="1" applyBorder="1" applyAlignment="1">
      <alignment horizontal="center" vertical="top"/>
    </xf>
    <xf numFmtId="0" fontId="18" fillId="2" borderId="2" xfId="0" applyFont="1" applyFill="1" applyBorder="1" applyAlignment="1">
      <alignment horizontal="center" vertical="top"/>
    </xf>
    <xf numFmtId="0" fontId="18" fillId="2" borderId="1" xfId="0" applyFont="1" applyFill="1" applyBorder="1" applyAlignment="1">
      <alignment horizontal="left" vertical="top"/>
    </xf>
    <xf numFmtId="0" fontId="1" fillId="2" borderId="1" xfId="0" applyFont="1" applyFill="1" applyBorder="1" applyAlignment="1">
      <alignment horizontal="center" vertical="top"/>
    </xf>
    <xf numFmtId="49" fontId="13" fillId="0" borderId="1" xfId="0" quotePrefix="1" applyNumberFormat="1" applyFont="1" applyBorder="1" applyAlignment="1">
      <alignment horizontal="center" vertical="top"/>
    </xf>
    <xf numFmtId="0" fontId="13" fillId="0" borderId="1" xfId="0" applyFont="1" applyBorder="1" applyAlignment="1">
      <alignment horizontal="left" vertical="top"/>
    </xf>
    <xf numFmtId="49" fontId="0" fillId="0" borderId="1" xfId="0" applyNumberFormat="1" applyBorder="1" applyAlignment="1">
      <alignment horizontal="center"/>
    </xf>
    <xf numFmtId="165" fontId="0" fillId="0" borderId="2" xfId="0" applyNumberFormat="1" applyBorder="1" applyAlignment="1">
      <alignment horizontal="center" vertical="top"/>
    </xf>
    <xf numFmtId="165" fontId="0" fillId="0" borderId="2" xfId="0" applyNumberFormat="1" applyBorder="1" applyAlignment="1">
      <alignment horizontal="center"/>
    </xf>
    <xf numFmtId="49" fontId="13" fillId="0" borderId="1" xfId="0" quotePrefix="1" applyNumberFormat="1" applyFont="1" applyBorder="1" applyAlignment="1">
      <alignment horizontal="center"/>
    </xf>
    <xf numFmtId="0" fontId="13" fillId="0" borderId="1" xfId="0" applyFont="1" applyBorder="1" applyAlignment="1">
      <alignment horizontal="left"/>
    </xf>
    <xf numFmtId="165" fontId="0" fillId="0" borderId="0" xfId="0" applyNumberFormat="1" applyAlignment="1">
      <alignment horizontal="center"/>
    </xf>
    <xf numFmtId="0" fontId="21" fillId="0" borderId="0" xfId="0" applyFont="1" applyAlignment="1">
      <alignment vertical="center"/>
    </xf>
    <xf numFmtId="0" fontId="0" fillId="22" borderId="6" xfId="0" applyFill="1" applyBorder="1"/>
    <xf numFmtId="0" fontId="0" fillId="22" borderId="7" xfId="0" applyFill="1" applyBorder="1"/>
    <xf numFmtId="0" fontId="0" fillId="22" borderId="8" xfId="0" applyFill="1" applyBorder="1"/>
    <xf numFmtId="0" fontId="22" fillId="22" borderId="9" xfId="0" applyFont="1" applyFill="1" applyBorder="1" applyAlignment="1">
      <alignment vertical="center"/>
    </xf>
    <xf numFmtId="0" fontId="0" fillId="22" borderId="8" xfId="0" applyFill="1" applyBorder="1" applyAlignment="1">
      <alignment vertical="center"/>
    </xf>
    <xf numFmtId="0" fontId="0" fillId="0" borderId="0" xfId="0" applyAlignment="1">
      <alignment vertical="center"/>
    </xf>
    <xf numFmtId="0" fontId="22" fillId="22" borderId="6" xfId="0" applyFont="1" applyFill="1" applyBorder="1" applyAlignment="1">
      <alignment vertical="center"/>
    </xf>
    <xf numFmtId="0" fontId="0" fillId="22" borderId="15" xfId="0" applyFill="1" applyBorder="1" applyAlignment="1">
      <alignment vertical="center"/>
    </xf>
    <xf numFmtId="0" fontId="1" fillId="22" borderId="0" xfId="0" applyFont="1" applyFill="1" applyAlignment="1">
      <alignment horizontal="right" vertical="center"/>
    </xf>
    <xf numFmtId="0" fontId="0" fillId="22" borderId="15" xfId="0" applyFill="1" applyBorder="1" applyAlignment="1">
      <alignment horizontal="center" vertical="center"/>
    </xf>
    <xf numFmtId="0" fontId="0" fillId="22" borderId="0" xfId="0" applyFill="1" applyAlignment="1">
      <alignment vertical="center"/>
    </xf>
    <xf numFmtId="0" fontId="0" fillId="22" borderId="0" xfId="0" applyFill="1" applyAlignment="1">
      <alignment horizontal="center" vertical="center"/>
    </xf>
    <xf numFmtId="0" fontId="22" fillId="22" borderId="6" xfId="0" applyFont="1" applyFill="1" applyBorder="1" applyAlignment="1">
      <alignment vertical="top"/>
    </xf>
    <xf numFmtId="0" fontId="0" fillId="22" borderId="6" xfId="0" applyFill="1" applyBorder="1" applyAlignment="1">
      <alignment vertical="center"/>
    </xf>
    <xf numFmtId="0" fontId="0" fillId="22" borderId="16" xfId="0" applyFill="1" applyBorder="1" applyAlignment="1">
      <alignment vertical="center"/>
    </xf>
    <xf numFmtId="0" fontId="0" fillId="22" borderId="17" xfId="0" applyFill="1" applyBorder="1" applyAlignment="1">
      <alignment vertical="center"/>
    </xf>
    <xf numFmtId="0" fontId="0" fillId="22" borderId="18" xfId="0" applyFill="1" applyBorder="1" applyAlignment="1">
      <alignment vertical="center"/>
    </xf>
    <xf numFmtId="0" fontId="2" fillId="0" borderId="1" xfId="1" applyBorder="1" applyAlignment="1">
      <alignment vertical="top"/>
    </xf>
    <xf numFmtId="0" fontId="4" fillId="3" borderId="1" xfId="1" applyFont="1" applyFill="1" applyBorder="1" applyAlignment="1">
      <alignment vertical="top"/>
    </xf>
    <xf numFmtId="0" fontId="4" fillId="3" borderId="1" xfId="1" applyFont="1" applyFill="1" applyBorder="1" applyAlignment="1">
      <alignment horizontal="right" vertical="top"/>
    </xf>
    <xf numFmtId="0" fontId="4" fillId="0" borderId="1" xfId="1" applyFont="1" applyBorder="1" applyAlignment="1">
      <alignment vertical="top"/>
    </xf>
    <xf numFmtId="0" fontId="4" fillId="0" borderId="1" xfId="1" applyFont="1" applyBorder="1" applyAlignment="1">
      <alignment horizontal="right" vertical="top"/>
    </xf>
    <xf numFmtId="164" fontId="4" fillId="0" borderId="1" xfId="1" applyNumberFormat="1" applyFont="1" applyBorder="1" applyAlignment="1">
      <alignment vertical="top"/>
    </xf>
    <xf numFmtId="0" fontId="5" fillId="5" borderId="1" xfId="1" applyFont="1" applyFill="1" applyBorder="1" applyAlignment="1">
      <alignment vertical="top"/>
    </xf>
    <xf numFmtId="0" fontId="5" fillId="7" borderId="1" xfId="1" applyFont="1" applyFill="1" applyBorder="1" applyAlignment="1">
      <alignment vertical="top"/>
    </xf>
    <xf numFmtId="0" fontId="5" fillId="3" borderId="1" xfId="1" applyFont="1" applyFill="1" applyBorder="1" applyAlignment="1">
      <alignment vertical="top"/>
    </xf>
    <xf numFmtId="0" fontId="15" fillId="0" borderId="1" xfId="0" applyFont="1" applyBorder="1" applyAlignment="1">
      <alignment horizontal="right" wrapText="1"/>
    </xf>
    <xf numFmtId="0" fontId="5" fillId="9" borderId="1" xfId="1" applyFont="1" applyFill="1" applyBorder="1" applyAlignment="1">
      <alignment vertical="top"/>
    </xf>
    <xf numFmtId="0" fontId="5" fillId="11" borderId="1" xfId="1" applyFont="1" applyFill="1" applyBorder="1" applyAlignment="1">
      <alignment vertical="top"/>
    </xf>
    <xf numFmtId="0" fontId="5" fillId="0" borderId="1" xfId="1" applyFont="1" applyBorder="1" applyAlignment="1">
      <alignment vertical="top"/>
    </xf>
    <xf numFmtId="0" fontId="5" fillId="13" borderId="1" xfId="1" applyFont="1" applyFill="1" applyBorder="1" applyAlignment="1">
      <alignment vertical="top"/>
    </xf>
    <xf numFmtId="0" fontId="5" fillId="15" borderId="1" xfId="1" applyFont="1" applyFill="1" applyBorder="1" applyAlignment="1">
      <alignment vertical="top"/>
    </xf>
    <xf numFmtId="0" fontId="5" fillId="16" borderId="1" xfId="1" applyFont="1" applyFill="1" applyBorder="1" applyAlignment="1">
      <alignment vertical="top"/>
    </xf>
    <xf numFmtId="0" fontId="5" fillId="17" borderId="1" xfId="1" applyFont="1" applyFill="1" applyBorder="1" applyAlignment="1">
      <alignment vertical="top"/>
    </xf>
    <xf numFmtId="0" fontId="4" fillId="7" borderId="1" xfId="1" applyFont="1" applyFill="1" applyBorder="1" applyAlignment="1">
      <alignment vertical="top"/>
    </xf>
    <xf numFmtId="0" fontId="14" fillId="6" borderId="1" xfId="0" applyFont="1" applyFill="1" applyBorder="1" applyAlignment="1">
      <alignment wrapText="1"/>
    </xf>
    <xf numFmtId="0" fontId="15" fillId="8" borderId="1" xfId="0" applyFont="1" applyFill="1" applyBorder="1" applyAlignment="1">
      <alignment wrapText="1"/>
    </xf>
    <xf numFmtId="0" fontId="2" fillId="4" borderId="1" xfId="1" applyFill="1" applyBorder="1" applyAlignment="1">
      <alignment wrapText="1"/>
    </xf>
    <xf numFmtId="0" fontId="2" fillId="4" borderId="1" xfId="1" applyFill="1" applyBorder="1" applyAlignment="1">
      <alignment horizontal="right" wrapText="1"/>
    </xf>
    <xf numFmtId="0" fontId="2" fillId="0" borderId="1" xfId="1" applyBorder="1" applyAlignment="1">
      <alignment wrapText="1"/>
    </xf>
    <xf numFmtId="0" fontId="2" fillId="0" borderId="1" xfId="1" applyBorder="1" applyAlignment="1">
      <alignment horizontal="right" wrapText="1"/>
    </xf>
    <xf numFmtId="0" fontId="2" fillId="4" borderId="1" xfId="1" applyFill="1" applyBorder="1" applyAlignment="1">
      <alignment horizontal="left" wrapText="1"/>
    </xf>
    <xf numFmtId="0" fontId="2" fillId="0" borderId="1" xfId="1" applyBorder="1" applyAlignment="1">
      <alignment horizontal="left" wrapText="1"/>
    </xf>
    <xf numFmtId="0" fontId="15" fillId="0" borderId="1" xfId="0" applyFont="1" applyBorder="1" applyAlignment="1">
      <alignment horizontal="left" wrapText="1"/>
    </xf>
    <xf numFmtId="0" fontId="2" fillId="0" borderId="1" xfId="1" applyBorder="1" applyAlignment="1">
      <alignment horizontal="left"/>
    </xf>
    <xf numFmtId="0" fontId="2" fillId="0" borderId="0" xfId="1" applyAlignment="1">
      <alignment horizontal="left"/>
    </xf>
    <xf numFmtId="0" fontId="0" fillId="22" borderId="0" xfId="0" applyFill="1" applyAlignment="1">
      <alignment horizontal="left" vertical="top"/>
    </xf>
    <xf numFmtId="0" fontId="22" fillId="22" borderId="19" xfId="0" applyFont="1" applyFill="1" applyBorder="1" applyAlignment="1">
      <alignment vertical="center"/>
    </xf>
    <xf numFmtId="0" fontId="0" fillId="22" borderId="0" xfId="0" applyFill="1" applyAlignment="1">
      <alignment vertical="top"/>
    </xf>
    <xf numFmtId="0" fontId="0" fillId="22" borderId="12" xfId="0" applyFill="1" applyBorder="1" applyAlignment="1">
      <alignment horizontal="left" vertical="top"/>
    </xf>
    <xf numFmtId="0" fontId="0" fillId="0" borderId="0" xfId="0" applyAlignment="1">
      <alignment horizontal="right"/>
    </xf>
    <xf numFmtId="0" fontId="0" fillId="22" borderId="7" xfId="0" applyFill="1" applyBorder="1" applyAlignment="1">
      <alignment horizontal="right"/>
    </xf>
    <xf numFmtId="0" fontId="0" fillId="22" borderId="0" xfId="0" applyFill="1" applyAlignment="1">
      <alignment horizontal="right" vertical="center"/>
    </xf>
    <xf numFmtId="0" fontId="0" fillId="22" borderId="20" xfId="0" applyFill="1" applyBorder="1" applyAlignment="1">
      <alignment horizontal="right" vertical="top"/>
    </xf>
    <xf numFmtId="0" fontId="0" fillId="22" borderId="0" xfId="0" applyFill="1" applyAlignment="1">
      <alignment horizontal="right" vertical="top"/>
    </xf>
    <xf numFmtId="0" fontId="0" fillId="22" borderId="17" xfId="0" applyFill="1" applyBorder="1" applyAlignment="1">
      <alignment horizontal="right" vertical="center"/>
    </xf>
    <xf numFmtId="0" fontId="0" fillId="0" borderId="0" xfId="0" applyAlignment="1">
      <alignment horizontal="right" vertical="center"/>
    </xf>
    <xf numFmtId="0" fontId="13" fillId="6" borderId="1" xfId="0" applyFont="1" applyFill="1" applyBorder="1" applyAlignment="1">
      <alignment horizontal="left"/>
    </xf>
    <xf numFmtId="0" fontId="0" fillId="6" borderId="1" xfId="0" applyFill="1" applyBorder="1" applyAlignment="1">
      <alignment horizontal="center"/>
    </xf>
    <xf numFmtId="0" fontId="1" fillId="0" borderId="0" xfId="0" applyFont="1" applyAlignment="1">
      <alignment horizontal="center" vertical="top"/>
    </xf>
    <xf numFmtId="0" fontId="1" fillId="0" borderId="1" xfId="0" applyFont="1" applyBorder="1" applyAlignment="1">
      <alignment horizontal="center" vertical="top"/>
    </xf>
    <xf numFmtId="0" fontId="1" fillId="0" borderId="1" xfId="0" applyFont="1" applyBorder="1" applyAlignment="1">
      <alignment horizontal="center"/>
    </xf>
    <xf numFmtId="0" fontId="1" fillId="0" borderId="0" xfId="0" applyFont="1" applyAlignment="1">
      <alignment horizontal="center"/>
    </xf>
    <xf numFmtId="165" fontId="0" fillId="0" borderId="1" xfId="0" applyNumberFormat="1" applyBorder="1" applyAlignment="1">
      <alignment horizontal="center"/>
    </xf>
    <xf numFmtId="0" fontId="13" fillId="0" borderId="1" xfId="0" applyFont="1" applyBorder="1"/>
    <xf numFmtId="49" fontId="13" fillId="0" borderId="1" xfId="0" quotePrefix="1" applyNumberFormat="1" applyFont="1" applyBorder="1"/>
    <xf numFmtId="0" fontId="0" fillId="2" borderId="1" xfId="0" applyFill="1" applyBorder="1" applyAlignment="1">
      <alignment horizontal="center" vertical="top"/>
    </xf>
    <xf numFmtId="0" fontId="15" fillId="0" borderId="21" xfId="0" applyFont="1" applyBorder="1" applyAlignment="1">
      <alignment wrapText="1"/>
    </xf>
    <xf numFmtId="0" fontId="15" fillId="0" borderId="21" xfId="0" applyFont="1" applyBorder="1" applyAlignment="1">
      <alignment horizontal="right" wrapText="1"/>
    </xf>
    <xf numFmtId="0" fontId="16" fillId="0" borderId="21" xfId="0" applyFont="1" applyBorder="1" applyAlignment="1">
      <alignment wrapText="1"/>
    </xf>
    <xf numFmtId="0" fontId="14" fillId="6" borderId="21" xfId="0" applyFont="1" applyFill="1" applyBorder="1" applyAlignment="1">
      <alignment wrapText="1"/>
    </xf>
    <xf numFmtId="0" fontId="14" fillId="8" borderId="21" xfId="0" applyFont="1" applyFill="1" applyBorder="1" applyAlignment="1">
      <alignment wrapText="1"/>
    </xf>
    <xf numFmtId="0" fontId="14" fillId="4" borderId="21" xfId="0" applyFont="1" applyFill="1" applyBorder="1" applyAlignment="1">
      <alignment wrapText="1"/>
    </xf>
    <xf numFmtId="0" fontId="14" fillId="10" borderId="21" xfId="0" applyFont="1" applyFill="1" applyBorder="1" applyAlignment="1">
      <alignment wrapText="1"/>
    </xf>
    <xf numFmtId="0" fontId="14" fillId="12" borderId="21" xfId="0" applyFont="1" applyFill="1" applyBorder="1" applyAlignment="1">
      <alignment wrapText="1"/>
    </xf>
    <xf numFmtId="0" fontId="14" fillId="0" borderId="21" xfId="0" applyFont="1" applyBorder="1" applyAlignment="1">
      <alignment wrapText="1"/>
    </xf>
    <xf numFmtId="0" fontId="14" fillId="14" borderId="21" xfId="0" applyFont="1" applyFill="1" applyBorder="1" applyAlignment="1">
      <alignment wrapText="1"/>
    </xf>
    <xf numFmtId="0" fontId="14" fillId="18" borderId="21" xfId="0" applyFont="1" applyFill="1" applyBorder="1" applyAlignment="1">
      <alignment wrapText="1"/>
    </xf>
    <xf numFmtId="0" fontId="14" fillId="19" borderId="21" xfId="0" applyFont="1" applyFill="1" applyBorder="1" applyAlignment="1">
      <alignment wrapText="1"/>
    </xf>
    <xf numFmtId="0" fontId="14" fillId="20" borderId="21" xfId="0" applyFont="1" applyFill="1" applyBorder="1" applyAlignment="1">
      <alignment wrapText="1"/>
    </xf>
    <xf numFmtId="0" fontId="15" fillId="4" borderId="21" xfId="0" applyFont="1" applyFill="1" applyBorder="1" applyAlignment="1">
      <alignment wrapText="1"/>
    </xf>
    <xf numFmtId="0" fontId="15" fillId="8" borderId="21" xfId="0" applyFont="1" applyFill="1" applyBorder="1" applyAlignment="1">
      <alignment wrapText="1"/>
    </xf>
    <xf numFmtId="165" fontId="0" fillId="0" borderId="22" xfId="0" applyNumberFormat="1" applyBorder="1" applyAlignment="1">
      <alignment horizontal="center"/>
    </xf>
    <xf numFmtId="0" fontId="23" fillId="6" borderId="23" xfId="0" applyFont="1" applyFill="1" applyBorder="1" applyAlignment="1">
      <alignment wrapText="1"/>
    </xf>
    <xf numFmtId="0" fontId="23" fillId="6" borderId="24" xfId="0" applyFont="1" applyFill="1" applyBorder="1" applyAlignment="1">
      <alignment horizontal="center" wrapText="1"/>
    </xf>
    <xf numFmtId="0" fontId="23" fillId="6" borderId="24" xfId="0" applyFont="1" applyFill="1" applyBorder="1" applyAlignment="1">
      <alignment wrapText="1"/>
    </xf>
    <xf numFmtId="0" fontId="0" fillId="6" borderId="24" xfId="0" applyFill="1" applyBorder="1" applyAlignment="1">
      <alignment horizontal="center" wrapText="1"/>
    </xf>
    <xf numFmtId="0" fontId="0" fillId="0" borderId="22" xfId="0" applyBorder="1" applyAlignment="1">
      <alignment horizontal="center"/>
    </xf>
    <xf numFmtId="0" fontId="0" fillId="0" borderId="22" xfId="0" applyBorder="1"/>
    <xf numFmtId="0" fontId="13" fillId="0" borderId="22" xfId="0" applyFont="1" applyBorder="1"/>
    <xf numFmtId="0" fontId="15" fillId="0" borderId="0" xfId="0" applyFont="1" applyAlignment="1">
      <alignment wrapText="1"/>
    </xf>
    <xf numFmtId="0" fontId="15" fillId="0" borderId="0" xfId="0" applyFont="1" applyAlignment="1">
      <alignment horizontal="right" wrapText="1"/>
    </xf>
    <xf numFmtId="0" fontId="2" fillId="0" borderId="22" xfId="1" applyBorder="1"/>
    <xf numFmtId="0" fontId="2" fillId="0" borderId="22" xfId="1" applyBorder="1" applyAlignment="1">
      <alignment horizontal="right"/>
    </xf>
    <xf numFmtId="0" fontId="2" fillId="0" borderId="22" xfId="1" applyBorder="1" applyAlignment="1">
      <alignment horizontal="left"/>
    </xf>
    <xf numFmtId="0" fontId="3" fillId="2" borderId="1" xfId="1" applyFont="1" applyFill="1" applyBorder="1" applyAlignment="1">
      <alignment horizontal="center" vertical="top"/>
    </xf>
    <xf numFmtId="0" fontId="2" fillId="2" borderId="1" xfId="1" applyFill="1" applyBorder="1" applyAlignment="1">
      <alignment horizontal="center"/>
    </xf>
    <xf numFmtId="0" fontId="0" fillId="22" borderId="11" xfId="0" applyFill="1" applyBorder="1" applyAlignment="1">
      <alignment horizontal="center" vertical="center"/>
    </xf>
    <xf numFmtId="0" fontId="0" fillId="22" borderId="14" xfId="0" applyFill="1" applyBorder="1" applyAlignment="1">
      <alignment horizontal="center" vertical="center"/>
    </xf>
    <xf numFmtId="0" fontId="0" fillId="22" borderId="10" xfId="0" applyFill="1" applyBorder="1" applyAlignment="1">
      <alignment horizontal="left" vertical="top"/>
    </xf>
    <xf numFmtId="0" fontId="0" fillId="22" borderId="11" xfId="0" applyFill="1" applyBorder="1" applyAlignment="1">
      <alignment horizontal="left" vertical="top"/>
    </xf>
    <xf numFmtId="0" fontId="0" fillId="22" borderId="12" xfId="0" applyFill="1" applyBorder="1" applyAlignment="1">
      <alignment horizontal="left" vertical="top"/>
    </xf>
    <xf numFmtId="0" fontId="20" fillId="21" borderId="3" xfId="0" applyFont="1" applyFill="1" applyBorder="1" applyAlignment="1">
      <alignment horizontal="center" vertical="center"/>
    </xf>
    <xf numFmtId="0" fontId="20" fillId="21" borderId="4" xfId="0" applyFont="1" applyFill="1" applyBorder="1" applyAlignment="1">
      <alignment horizontal="center" vertical="center"/>
    </xf>
    <xf numFmtId="0" fontId="20" fillId="21" borderId="5" xfId="0" applyFont="1" applyFill="1" applyBorder="1" applyAlignment="1">
      <alignment horizontal="center" vertical="center"/>
    </xf>
    <xf numFmtId="0" fontId="0" fillId="22" borderId="13" xfId="0" applyFill="1" applyBorder="1" applyAlignment="1">
      <alignment horizontal="center" vertical="center"/>
    </xf>
    <xf numFmtId="0" fontId="1" fillId="23" borderId="1" xfId="0" applyFont="1" applyFill="1" applyBorder="1" applyAlignment="1">
      <alignment horizontal="center"/>
    </xf>
    <xf numFmtId="49" fontId="13" fillId="6" borderId="1" xfId="0" quotePrefix="1" applyNumberFormat="1" applyFont="1" applyFill="1" applyBorder="1"/>
    <xf numFmtId="0" fontId="13" fillId="6" borderId="1" xfId="0" applyFont="1" applyFill="1" applyBorder="1"/>
    <xf numFmtId="0" fontId="1" fillId="6" borderId="1" xfId="0" applyFont="1" applyFill="1" applyBorder="1" applyAlignment="1">
      <alignment horizontal="center"/>
    </xf>
    <xf numFmtId="49" fontId="13" fillId="0" borderId="1" xfId="0" applyNumberFormat="1" applyFont="1" applyBorder="1"/>
    <xf numFmtId="0" fontId="0" fillId="22" borderId="10" xfId="0" applyFill="1" applyBorder="1" applyAlignment="1">
      <alignment vertical="center" wrapText="1"/>
    </xf>
    <xf numFmtId="0" fontId="0" fillId="22" borderId="11" xfId="0" applyFill="1" applyBorder="1" applyAlignment="1">
      <alignment vertical="center"/>
    </xf>
    <xf numFmtId="0" fontId="0" fillId="22" borderId="12" xfId="0" applyFill="1" applyBorder="1" applyAlignment="1">
      <alignment vertical="center"/>
    </xf>
    <xf numFmtId="49" fontId="0" fillId="22" borderId="10" xfId="0" applyNumberFormat="1" applyFill="1" applyBorder="1" applyAlignment="1">
      <alignment vertical="center"/>
    </xf>
    <xf numFmtId="49" fontId="0" fillId="22" borderId="11" xfId="0" applyNumberFormat="1" applyFill="1" applyBorder="1" applyAlignment="1">
      <alignment vertical="center"/>
    </xf>
    <xf numFmtId="49" fontId="0" fillId="22" borderId="12" xfId="0" applyNumberFormat="1" applyFill="1" applyBorder="1" applyAlignment="1">
      <alignment vertical="center"/>
    </xf>
    <xf numFmtId="0" fontId="0" fillId="22" borderId="10" xfId="0" applyFill="1" applyBorder="1" applyAlignment="1">
      <alignment vertical="center"/>
    </xf>
  </cellXfs>
  <cellStyles count="3">
    <cellStyle name="Hyperlink" xfId="2" builtinId="8"/>
    <cellStyle name="Normal" xfId="0" builtinId="0"/>
    <cellStyle name="Normal 2" xfId="1" xr:uid="{9C0BA0A1-3420-4229-9EF2-13033622850F}"/>
  </cellStyles>
  <dxfs count="4">
    <dxf>
      <font>
        <b/>
        <i val="0"/>
        <color rgb="FFFF0000"/>
      </font>
      <fill>
        <patternFill>
          <bgColor rgb="FFFFFF00"/>
        </patternFill>
      </fill>
    </dxf>
    <dxf>
      <font>
        <color rgb="FFFF0000"/>
      </font>
      <fill>
        <patternFill>
          <bgColor rgb="FFFFFF00"/>
        </patternFill>
      </fill>
    </dxf>
    <dxf>
      <font>
        <color rgb="FFFF0000"/>
      </font>
      <fill>
        <patternFill>
          <bgColor rgb="FF99FF99"/>
        </patternFill>
      </fill>
    </dxf>
    <dxf>
      <font>
        <b/>
        <i val="0"/>
        <color rgb="FFFF0000"/>
      </font>
      <fill>
        <patternFill>
          <bgColor rgb="FFFFFF00"/>
        </patternFill>
      </fill>
    </dxf>
  </dxfs>
  <tableStyles count="0" defaultTableStyle="TableStyleMedium2" defaultPivotStyle="PivotStyleLight16"/>
  <colors>
    <mruColors>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457200</xdr:colOff>
      <xdr:row>4</xdr:row>
      <xdr:rowOff>167640</xdr:rowOff>
    </xdr:from>
    <xdr:to>
      <xdr:col>2</xdr:col>
      <xdr:colOff>106680</xdr:colOff>
      <xdr:row>8</xdr:row>
      <xdr:rowOff>152400</xdr:rowOff>
    </xdr:to>
    <xdr:sp macro="" textlink="">
      <xdr:nvSpPr>
        <xdr:cNvPr id="2" name="Speech Bubble: Rectangle with Corners Rounded 1">
          <a:extLst>
            <a:ext uri="{FF2B5EF4-FFF2-40B4-BE49-F238E27FC236}">
              <a16:creationId xmlns:a16="http://schemas.microsoft.com/office/drawing/2014/main" id="{EC3EECDC-970B-4115-8907-4CFD99ED3F53}"/>
            </a:ext>
          </a:extLst>
        </xdr:cNvPr>
        <xdr:cNvSpPr/>
      </xdr:nvSpPr>
      <xdr:spPr>
        <a:xfrm>
          <a:off x="457200" y="914400"/>
          <a:ext cx="2865120" cy="716280"/>
        </a:xfrm>
        <a:prstGeom prst="wedgeRoundRectCallout">
          <a:avLst>
            <a:gd name="adj1" fmla="val -49981"/>
            <a:gd name="adj2" fmla="val -115997"/>
            <a:gd name="adj3" fmla="val 16667"/>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US" sz="1100"/>
            <a:t>Có</a:t>
          </a:r>
          <a:r>
            <a:rPr lang="en-US" sz="1100" baseline="0"/>
            <a:t> chức năng kiểm tra trùng lặp ID, khi tạo 1 ID mời mà ID đó đã tồn tại thì các cell trùng lặp sẽ được fill màu vàng chữ đỏ</a:t>
          </a:r>
          <a:endParaRPr lang="en-US" sz="1100"/>
        </a:p>
      </xdr:txBody>
    </xdr:sp>
    <xdr:clientData/>
  </xdr:twoCellAnchor>
  <xdr:twoCellAnchor>
    <xdr:from>
      <xdr:col>3</xdr:col>
      <xdr:colOff>327660</xdr:colOff>
      <xdr:row>34</xdr:row>
      <xdr:rowOff>45720</xdr:rowOff>
    </xdr:from>
    <xdr:to>
      <xdr:col>6</xdr:col>
      <xdr:colOff>624840</xdr:colOff>
      <xdr:row>37</xdr:row>
      <xdr:rowOff>114300</xdr:rowOff>
    </xdr:to>
    <xdr:sp macro="" textlink="">
      <xdr:nvSpPr>
        <xdr:cNvPr id="3" name="Speech Bubble: Rectangle with Corners Rounded 2">
          <a:extLst>
            <a:ext uri="{FF2B5EF4-FFF2-40B4-BE49-F238E27FC236}">
              <a16:creationId xmlns:a16="http://schemas.microsoft.com/office/drawing/2014/main" id="{28B5CBF0-24B1-4BCD-8E77-05FEC200FF18}"/>
            </a:ext>
          </a:extLst>
        </xdr:cNvPr>
        <xdr:cNvSpPr/>
      </xdr:nvSpPr>
      <xdr:spPr>
        <a:xfrm>
          <a:off x="4411980" y="6278880"/>
          <a:ext cx="2720340" cy="792480"/>
        </a:xfrm>
        <a:prstGeom prst="wedgeRoundRectCallout">
          <a:avLst>
            <a:gd name="adj1" fmla="val -83112"/>
            <a:gd name="adj2" fmla="val 128559"/>
            <a:gd name="adj3" fmla="val 16667"/>
          </a:avLst>
        </a:prstGeom>
        <a:solidFill>
          <a:srgbClr val="99FF99"/>
        </a:solidFill>
        <a:ln>
          <a:solidFill>
            <a:schemeClr val="accent6"/>
          </a:solidFill>
        </a:ln>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US" sz="1100"/>
            <a:t>Các</a:t>
          </a:r>
          <a:r>
            <a:rPr lang="en-US" sz="1100" baseline="0"/>
            <a:t> cây trong bảng giá được đã được cập nhật trong bảng mới sẽ được fill màu, ở bước này cần thực hiện thủ công để tránh sai sót.</a:t>
          </a:r>
        </a:p>
        <a:p>
          <a:pPr algn="l"/>
          <a:endParaRPr lang="en-US" sz="1100"/>
        </a:p>
      </xdr:txBody>
    </xdr:sp>
    <xdr:clientData/>
  </xdr:twoCellAnchor>
  <xdr:twoCellAnchor>
    <xdr:from>
      <xdr:col>1</xdr:col>
      <xdr:colOff>2202180</xdr:colOff>
      <xdr:row>21</xdr:row>
      <xdr:rowOff>160020</xdr:rowOff>
    </xdr:from>
    <xdr:to>
      <xdr:col>4</xdr:col>
      <xdr:colOff>815340</xdr:colOff>
      <xdr:row>28</xdr:row>
      <xdr:rowOff>144780</xdr:rowOff>
    </xdr:to>
    <xdr:sp macro="" textlink="">
      <xdr:nvSpPr>
        <xdr:cNvPr id="4" name="Speech Bubble: Rectangle with Corners Rounded 3">
          <a:extLst>
            <a:ext uri="{FF2B5EF4-FFF2-40B4-BE49-F238E27FC236}">
              <a16:creationId xmlns:a16="http://schemas.microsoft.com/office/drawing/2014/main" id="{CD1F79C9-830B-4053-4F38-D88FA17CBFC4}"/>
            </a:ext>
          </a:extLst>
        </xdr:cNvPr>
        <xdr:cNvSpPr/>
      </xdr:nvSpPr>
      <xdr:spPr>
        <a:xfrm>
          <a:off x="2804160" y="4015740"/>
          <a:ext cx="3649980" cy="1082040"/>
        </a:xfrm>
        <a:prstGeom prst="wedgeRoundRectCallout">
          <a:avLst>
            <a:gd name="adj1" fmla="val -85913"/>
            <a:gd name="adj2" fmla="val 125674"/>
            <a:gd name="adj3" fmla="val 16667"/>
          </a:avLst>
        </a:prstGeom>
        <a:solidFill>
          <a:srgbClr val="99FF99"/>
        </a:solidFill>
        <a:ln>
          <a:solidFill>
            <a:schemeClr val="accent6"/>
          </a:solidFill>
        </a:ln>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US" sz="1100"/>
            <a:t>Khi</a:t>
          </a:r>
          <a:r>
            <a:rPr lang="en-US" sz="1100" baseline="0"/>
            <a:t> thêm một nhóm các loại cây mới không đánh số thứ tự trước tên vì data trong cell này sẽ được copy trực tiếp sang bảng cơ sở dữ liệu, việc đánh số thứ tự sẽ trở nên khó nhìn.</a:t>
          </a:r>
          <a:br>
            <a:rPr lang="en-US" sz="1100" baseline="0"/>
          </a:br>
          <a:r>
            <a:rPr lang="en-US" altLang="ja-JP" sz="1100" baseline="0"/>
            <a:t>※</a:t>
          </a:r>
          <a:r>
            <a:rPr lang="en-US" sz="1100" baseline="0"/>
            <a:t>Chuối tay phật</a:t>
          </a:r>
          <a:r>
            <a:rPr lang="ja-JP" altLang="en-US" sz="1100" baseline="0"/>
            <a:t>→</a:t>
          </a:r>
          <a:r>
            <a:rPr lang="en-US" altLang="ja-JP" sz="1100" baseline="0"/>
            <a:t>OK</a:t>
          </a:r>
          <a:br>
            <a:rPr lang="en-US" altLang="ja-JP" sz="1100" baseline="0"/>
          </a:br>
          <a:r>
            <a:rPr lang="en-US" altLang="ja-JP" sz="1100" baseline="0"/>
            <a:t>     2.Chuối tay phật</a:t>
          </a:r>
          <a:r>
            <a:rPr lang="ja-JP" altLang="en-US" sz="1100" baseline="0"/>
            <a:t>→</a:t>
          </a:r>
          <a:r>
            <a:rPr lang="en-US" altLang="ja-JP" sz="1100" baseline="0"/>
            <a:t>NG</a:t>
          </a:r>
          <a:endParaRPr lang="en-US" sz="1100"/>
        </a:p>
      </xdr:txBody>
    </xdr:sp>
    <xdr:clientData/>
  </xdr:twoCellAnchor>
  <xdr:twoCellAnchor>
    <xdr:from>
      <xdr:col>1</xdr:col>
      <xdr:colOff>2560320</xdr:colOff>
      <xdr:row>41</xdr:row>
      <xdr:rowOff>137160</xdr:rowOff>
    </xdr:from>
    <xdr:to>
      <xdr:col>3</xdr:col>
      <xdr:colOff>30480</xdr:colOff>
      <xdr:row>43</xdr:row>
      <xdr:rowOff>45720</xdr:rowOff>
    </xdr:to>
    <xdr:sp macro="" textlink="">
      <xdr:nvSpPr>
        <xdr:cNvPr id="5" name="Oval 4">
          <a:extLst>
            <a:ext uri="{FF2B5EF4-FFF2-40B4-BE49-F238E27FC236}">
              <a16:creationId xmlns:a16="http://schemas.microsoft.com/office/drawing/2014/main" id="{AF27664D-B903-1CB3-C6CE-7CAE87A61E9E}"/>
            </a:ext>
          </a:extLst>
        </xdr:cNvPr>
        <xdr:cNvSpPr/>
      </xdr:nvSpPr>
      <xdr:spPr>
        <a:xfrm>
          <a:off x="3162300" y="7642860"/>
          <a:ext cx="952500" cy="274320"/>
        </a:xfrm>
        <a:prstGeom prst="ellipse">
          <a:avLst/>
        </a:prstGeom>
        <a:noFill/>
        <a:ln w="28575">
          <a:solidFill>
            <a:srgbClr val="FF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563880</xdr:colOff>
      <xdr:row>31</xdr:row>
      <xdr:rowOff>121920</xdr:rowOff>
    </xdr:from>
    <xdr:to>
      <xdr:col>1</xdr:col>
      <xdr:colOff>914400</xdr:colOff>
      <xdr:row>33</xdr:row>
      <xdr:rowOff>30480</xdr:rowOff>
    </xdr:to>
    <xdr:sp macro="" textlink="">
      <xdr:nvSpPr>
        <xdr:cNvPr id="6" name="Oval 5">
          <a:extLst>
            <a:ext uri="{FF2B5EF4-FFF2-40B4-BE49-F238E27FC236}">
              <a16:creationId xmlns:a16="http://schemas.microsoft.com/office/drawing/2014/main" id="{27584DDD-464B-5B0B-A8DA-CB6E1DF12E52}"/>
            </a:ext>
          </a:extLst>
        </xdr:cNvPr>
        <xdr:cNvSpPr/>
      </xdr:nvSpPr>
      <xdr:spPr>
        <a:xfrm>
          <a:off x="563880" y="5623560"/>
          <a:ext cx="952500" cy="274320"/>
        </a:xfrm>
        <a:prstGeom prst="ellipse">
          <a:avLst/>
        </a:prstGeom>
        <a:noFill/>
        <a:ln w="28575">
          <a:solidFill>
            <a:srgbClr val="FF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4</xdr:col>
          <xdr:colOff>38100</xdr:colOff>
          <xdr:row>0</xdr:row>
          <xdr:rowOff>82550</xdr:rowOff>
        </xdr:from>
        <xdr:to>
          <xdr:col>5</xdr:col>
          <xdr:colOff>273050</xdr:colOff>
          <xdr:row>1</xdr:row>
          <xdr:rowOff>177800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00"/>
                  </a:solidFill>
                  <a:latin typeface="Sans"/>
                </a:rPr>
                <a:t>CreateIDFolder</a:t>
              </a:r>
            </a:p>
          </xdr:txBody>
        </xdr:sp>
        <xdr:clientData fPrintsWithSheet="0"/>
      </xdr:twoCellAnchor>
    </mc:Choice>
    <mc:Fallback/>
  </mc:AlternateContent>
  <xdr:twoCellAnchor>
    <xdr:from>
      <xdr:col>0</xdr:col>
      <xdr:colOff>68580</xdr:colOff>
      <xdr:row>48</xdr:row>
      <xdr:rowOff>182880</xdr:rowOff>
    </xdr:from>
    <xdr:to>
      <xdr:col>8</xdr:col>
      <xdr:colOff>754380</xdr:colOff>
      <xdr:row>50</xdr:row>
      <xdr:rowOff>22860</xdr:rowOff>
    </xdr:to>
    <xdr:sp macro="" textlink="">
      <xdr:nvSpPr>
        <xdr:cNvPr id="7" name="Rectangle 6">
          <a:extLst>
            <a:ext uri="{FF2B5EF4-FFF2-40B4-BE49-F238E27FC236}">
              <a16:creationId xmlns:a16="http://schemas.microsoft.com/office/drawing/2014/main" id="{C9AD0A3D-7C12-7765-B2D6-F517426CDAFD}"/>
            </a:ext>
          </a:extLst>
        </xdr:cNvPr>
        <xdr:cNvSpPr/>
      </xdr:nvSpPr>
      <xdr:spPr>
        <a:xfrm>
          <a:off x="68580" y="9151620"/>
          <a:ext cx="11209020" cy="220980"/>
        </a:xfrm>
        <a:prstGeom prst="rect">
          <a:avLst/>
        </a:prstGeom>
        <a:noFill/>
        <a:ln>
          <a:solidFill>
            <a:srgbClr val="FF0000"/>
          </a:solidFill>
          <a:prstDash val="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2468880</xdr:colOff>
      <xdr:row>46</xdr:row>
      <xdr:rowOff>152400</xdr:rowOff>
    </xdr:from>
    <xdr:to>
      <xdr:col>3</xdr:col>
      <xdr:colOff>1280160</xdr:colOff>
      <xdr:row>49</xdr:row>
      <xdr:rowOff>175260</xdr:rowOff>
    </xdr:to>
    <xdr:cxnSp macro="">
      <xdr:nvCxnSpPr>
        <xdr:cNvPr id="10" name="Straight Arrow Connector 9">
          <a:extLst>
            <a:ext uri="{FF2B5EF4-FFF2-40B4-BE49-F238E27FC236}">
              <a16:creationId xmlns:a16="http://schemas.microsoft.com/office/drawing/2014/main" id="{BB4461F7-B876-05E8-7BE6-A53859D4E554}"/>
            </a:ext>
          </a:extLst>
        </xdr:cNvPr>
        <xdr:cNvCxnSpPr/>
      </xdr:nvCxnSpPr>
      <xdr:spPr>
        <a:xfrm flipV="1">
          <a:off x="3070860" y="8572500"/>
          <a:ext cx="2293620" cy="57150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68580</xdr:colOff>
      <xdr:row>45</xdr:row>
      <xdr:rowOff>167640</xdr:rowOff>
    </xdr:from>
    <xdr:to>
      <xdr:col>5</xdr:col>
      <xdr:colOff>830580</xdr:colOff>
      <xdr:row>48</xdr:row>
      <xdr:rowOff>175260</xdr:rowOff>
    </xdr:to>
    <xdr:cxnSp macro="">
      <xdr:nvCxnSpPr>
        <xdr:cNvPr id="11" name="Straight Arrow Connector 10">
          <a:extLst>
            <a:ext uri="{FF2B5EF4-FFF2-40B4-BE49-F238E27FC236}">
              <a16:creationId xmlns:a16="http://schemas.microsoft.com/office/drawing/2014/main" id="{F7BD22D2-46A4-D5CC-EA1C-68916361D4D2}"/>
            </a:ext>
          </a:extLst>
        </xdr:cNvPr>
        <xdr:cNvCxnSpPr/>
      </xdr:nvCxnSpPr>
      <xdr:spPr>
        <a:xfrm flipH="1" flipV="1">
          <a:off x="5707380" y="8587740"/>
          <a:ext cx="1630680" cy="55626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419100</xdr:colOff>
      <xdr:row>42</xdr:row>
      <xdr:rowOff>76200</xdr:rowOff>
    </xdr:from>
    <xdr:to>
      <xdr:col>5</xdr:col>
      <xdr:colOff>335280</xdr:colOff>
      <xdr:row>45</xdr:row>
      <xdr:rowOff>106680</xdr:rowOff>
    </xdr:to>
    <xdr:sp macro="" textlink="">
      <xdr:nvSpPr>
        <xdr:cNvPr id="15" name="TextBox 14">
          <a:extLst>
            <a:ext uri="{FF2B5EF4-FFF2-40B4-BE49-F238E27FC236}">
              <a16:creationId xmlns:a16="http://schemas.microsoft.com/office/drawing/2014/main" id="{8A2BDC43-7011-992E-51E0-AB5DD1F05085}"/>
            </a:ext>
          </a:extLst>
        </xdr:cNvPr>
        <xdr:cNvSpPr txBox="1"/>
      </xdr:nvSpPr>
      <xdr:spPr>
        <a:xfrm>
          <a:off x="4503420" y="7947660"/>
          <a:ext cx="2339340" cy="579120"/>
        </a:xfrm>
        <a:prstGeom prst="rect">
          <a:avLst/>
        </a:prstGeom>
        <a:solidFill>
          <a:schemeClr val="accent6">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Thứ</a:t>
          </a:r>
          <a:r>
            <a:rPr lang="en-US" sz="1100" baseline="0"/>
            <a:t> tự hàng phải trùng nhau cho một loại cây để chương trình so sánh sự khác biệt</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44450</xdr:colOff>
          <xdr:row>1</xdr:row>
          <xdr:rowOff>38100</xdr:rowOff>
        </xdr:from>
        <xdr:to>
          <xdr:col>12</xdr:col>
          <xdr:colOff>412750</xdr:colOff>
          <xdr:row>2</xdr:row>
          <xdr:rowOff>393700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Sans"/>
                </a:rPr>
                <a:t>Synchronize</a:t>
              </a:r>
            </a:p>
          </xdr:txBody>
        </xdr:sp>
        <xdr:clientData fPrintsWithSheet="0"/>
      </xdr:twoCellAnchor>
    </mc:Choice>
    <mc:Fallback/>
  </mc:AlternateContent>
  <xdr:twoCellAnchor>
    <xdr:from>
      <xdr:col>11</xdr:col>
      <xdr:colOff>541020</xdr:colOff>
      <xdr:row>5</xdr:row>
      <xdr:rowOff>15240</xdr:rowOff>
    </xdr:from>
    <xdr:to>
      <xdr:col>21</xdr:col>
      <xdr:colOff>205740</xdr:colOff>
      <xdr:row>19</xdr:row>
      <xdr:rowOff>7620</xdr:rowOff>
    </xdr:to>
    <xdr:sp macro="" textlink="">
      <xdr:nvSpPr>
        <xdr:cNvPr id="2" name="Speech Bubble: Rectangle with Corners Rounded 1">
          <a:extLst>
            <a:ext uri="{FF2B5EF4-FFF2-40B4-BE49-F238E27FC236}">
              <a16:creationId xmlns:a16="http://schemas.microsoft.com/office/drawing/2014/main" id="{C595DF58-3BE5-4064-B855-45E965A64B23}"/>
            </a:ext>
          </a:extLst>
        </xdr:cNvPr>
        <xdr:cNvSpPr/>
      </xdr:nvSpPr>
      <xdr:spPr>
        <a:xfrm>
          <a:off x="12885420" y="1066800"/>
          <a:ext cx="5760720" cy="2339340"/>
        </a:xfrm>
        <a:prstGeom prst="wedgeRoundRectCallout">
          <a:avLst>
            <a:gd name="adj1" fmla="val -49576"/>
            <a:gd name="adj2" fmla="val -67804"/>
            <a:gd name="adj3" fmla="val 16667"/>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r>
            <a:rPr lang="vi-VN"/>
            <a:t>Duyệt từng dòng từ PriceList, bắt đầu từ dòng 3.</a:t>
          </a:r>
        </a:p>
        <a:p>
          <a:r>
            <a:rPr lang="vi-VN"/>
            <a:t>Bỏ qua dòng có dấu # hoặc ô trống.</a:t>
          </a:r>
        </a:p>
        <a:p>
          <a:r>
            <a:rPr lang="vi-VN"/>
            <a:t>Với mỗi Plant ID:</a:t>
          </a:r>
        </a:p>
        <a:p>
          <a:r>
            <a:rPr lang="vi-VN" b="1"/>
            <a:t>Nếu đã tồn tại trong sheet hiện tại:</a:t>
          </a:r>
          <a:endParaRPr lang="vi-VN"/>
        </a:p>
        <a:p>
          <a:pPr lvl="1"/>
          <a:r>
            <a:rPr lang="vi-VN"/>
            <a:t>So sánh giá (cột C vs cột E), nếu khác → cập nhật và thêm vào danh sách cập nhật.</a:t>
          </a:r>
        </a:p>
        <a:p>
          <a:r>
            <a:rPr lang="vi-VN" b="1"/>
            <a:t>Nếu chưa tồn tại:</a:t>
          </a:r>
          <a:endParaRPr lang="vi-VN"/>
        </a:p>
        <a:p>
          <a:pPr lvl="1"/>
          <a:r>
            <a:rPr lang="vi-VN"/>
            <a:t>Thêm dòng mới vào sheet hiện tại với:</a:t>
          </a:r>
        </a:p>
        <a:p>
          <a:pPr lvl="2"/>
          <a:r>
            <a:rPr lang="vi-VN"/>
            <a:t>Plant ID từ cột A → cột B</a:t>
          </a:r>
        </a:p>
        <a:p>
          <a:pPr lvl="2"/>
          <a:r>
            <a:rPr lang="vi-VN"/>
            <a:t>Tên từ cột B → cột C</a:t>
          </a:r>
        </a:p>
        <a:p>
          <a:pPr lvl="2"/>
          <a:r>
            <a:rPr lang="vi-VN"/>
            <a:t>Giá từ cột C → cột E</a:t>
          </a:r>
        </a:p>
        <a:p>
          <a:pPr lvl="2"/>
          <a:r>
            <a:rPr lang="vi-VN"/>
            <a:t>Kiểu nhân giống từ cột D → cột F</a:t>
          </a:r>
        </a:p>
        <a:p>
          <a:pPr lvl="1"/>
          <a:r>
            <a:rPr lang="vi-VN"/>
            <a:t>Ghi nhận vào danh sách các dòng đã thêm mới.</a:t>
          </a:r>
        </a:p>
        <a:p>
          <a:pPr algn="l"/>
          <a:endParaRPr lang="en-US" sz="1100"/>
        </a:p>
      </xdr:txBody>
    </xdr:sp>
    <xdr:clientData/>
  </xdr:twoCellAnchor>
  <mc:AlternateContent xmlns:mc="http://schemas.openxmlformats.org/markup-compatibility/2006">
    <mc:Choice xmlns:a14="http://schemas.microsoft.com/office/drawing/2010/main" Requires="a14">
      <xdr:twoCellAnchor>
        <xdr:from>
          <xdr:col>13</xdr:col>
          <xdr:colOff>177800</xdr:colOff>
          <xdr:row>1</xdr:row>
          <xdr:rowOff>38100</xdr:rowOff>
        </xdr:from>
        <xdr:to>
          <xdr:col>14</xdr:col>
          <xdr:colOff>431800</xdr:colOff>
          <xdr:row>2</xdr:row>
          <xdr:rowOff>412750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FF"/>
                  </a:solidFill>
                  <a:latin typeface="Sans"/>
                </a:rPr>
                <a:t>Createlink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450850</xdr:colOff>
          <xdr:row>23</xdr:row>
          <xdr:rowOff>44450</xdr:rowOff>
        </xdr:from>
        <xdr:to>
          <xdr:col>2</xdr:col>
          <xdr:colOff>1206500</xdr:colOff>
          <xdr:row>24</xdr:row>
          <xdr:rowOff>107950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sng" strike="noStrike" baseline="0">
                  <a:solidFill>
                    <a:srgbClr val="000000"/>
                  </a:solidFill>
                  <a:latin typeface="Sans"/>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44450</xdr:colOff>
          <xdr:row>23</xdr:row>
          <xdr:rowOff>31750</xdr:rowOff>
        </xdr:from>
        <xdr:to>
          <xdr:col>1</xdr:col>
          <xdr:colOff>793750</xdr:colOff>
          <xdr:row>24</xdr:row>
          <xdr:rowOff>88900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sng" strike="noStrike" baseline="0">
                  <a:solidFill>
                    <a:srgbClr val="000000"/>
                  </a:solidFill>
                  <a:latin typeface="Sans"/>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1397000</xdr:colOff>
          <xdr:row>23</xdr:row>
          <xdr:rowOff>63500</xdr:rowOff>
        </xdr:from>
        <xdr:to>
          <xdr:col>5</xdr:col>
          <xdr:colOff>6350</xdr:colOff>
          <xdr:row>24</xdr:row>
          <xdr:rowOff>107950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sng" strike="noStrike" baseline="0">
                  <a:solidFill>
                    <a:srgbClr val="000000"/>
                  </a:solidFill>
                  <a:latin typeface="Sans"/>
                </a:rPr>
                <a:t>Submit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LSG"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LSG"/>
    </sheetNames>
    <sheetDataSet>
      <sheetData sheetId="0" refreshError="1"/>
    </sheetDataSet>
  </externalBook>
</externalLink>
</file>

<file path=xl/persons/person.xml><?xml version="1.0" encoding="utf-8"?>
<personList xmlns="http://schemas.microsoft.com/office/spreadsheetml/2018/threadedcomments" xmlns:x="http://schemas.openxmlformats.org/spreadsheetml/2006/main">
  <person displayName="hung dt" id="{7799FC14-4980-47F7-B5F8-7FDBC506DC3B}" userId="78e35366963321ed"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2" dT="2025-07-26T15:22:27.40" personId="{7799FC14-4980-47F7-B5F8-7FDBC506DC3B}" id="{9AC6383D-7115-4ACB-94F6-5471B5B279BD}">
    <text>Đối với hàng không chứa tên cây mà là một loại data khác thì thêm dấu # vào cột A</text>
  </threadedComment>
  <threadedComment ref="B2" dT="2025-07-26T15:21:45.19" personId="{7799FC14-4980-47F7-B5F8-7FDBC506DC3B}" id="{C240A053-96F7-4149-9612-3EAA6EB4BF3E}">
    <text>Không để số trước tên cây</text>
  </threadedComment>
</ThreadedComment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17" Type="http://schemas.openxmlformats.org/officeDocument/2006/relationships/hyperlink" Target="NSS100/" TargetMode="External"/><Relationship Id="rId299" Type="http://schemas.openxmlformats.org/officeDocument/2006/relationships/hyperlink" Target="MLHN900/" TargetMode="External"/><Relationship Id="rId21" Type="http://schemas.openxmlformats.org/officeDocument/2006/relationships/hyperlink" Target="CFV200/" TargetMode="External"/><Relationship Id="rId63" Type="http://schemas.openxmlformats.org/officeDocument/2006/relationships/hyperlink" Target="RDH301/" TargetMode="External"/><Relationship Id="rId159" Type="http://schemas.openxmlformats.org/officeDocument/2006/relationships/hyperlink" Target="https://github.com/Hungdt115/DataPlantList/tree/main/THC200" TargetMode="External"/><Relationship Id="rId324" Type="http://schemas.openxmlformats.org/officeDocument/2006/relationships/hyperlink" Target="https://github.com/Hungdt115/DataPlantList/tree/main/TT1" TargetMode="External"/><Relationship Id="rId366" Type="http://schemas.openxmlformats.org/officeDocument/2006/relationships/hyperlink" Target="https://github.com/Hungdt115/DataPlantList/tree/main/HCB900" TargetMode="External"/><Relationship Id="rId170" Type="http://schemas.openxmlformats.org/officeDocument/2006/relationships/hyperlink" Target="https://github.com/Hungdt115/DataPlantList/tree/main/CKD300" TargetMode="External"/><Relationship Id="rId226" Type="http://schemas.openxmlformats.org/officeDocument/2006/relationships/hyperlink" Target="https://github.com/Hungdt115/DataPlantList/tree/main/TRH900" TargetMode="External"/><Relationship Id="rId268" Type="http://schemas.openxmlformats.org/officeDocument/2006/relationships/hyperlink" Target="https://github.com/Hungdt115/DataPlantList/tree/main/HBB900" TargetMode="External"/><Relationship Id="rId32" Type="http://schemas.openxmlformats.org/officeDocument/2006/relationships/hyperlink" Target="CMT100/" TargetMode="External"/><Relationship Id="rId74" Type="http://schemas.openxmlformats.org/officeDocument/2006/relationships/hyperlink" Target="TSI300/" TargetMode="External"/><Relationship Id="rId128" Type="http://schemas.openxmlformats.org/officeDocument/2006/relationships/hyperlink" Target="LHP900/" TargetMode="External"/><Relationship Id="rId335" Type="http://schemas.openxmlformats.org/officeDocument/2006/relationships/hyperlink" Target="CPHSX900/" TargetMode="External"/><Relationship Id="rId377" Type="http://schemas.openxmlformats.org/officeDocument/2006/relationships/hyperlink" Target="NRCHEI900/" TargetMode="External"/><Relationship Id="rId5" Type="http://schemas.openxmlformats.org/officeDocument/2006/relationships/hyperlink" Target="CHA900/" TargetMode="External"/><Relationship Id="rId181" Type="http://schemas.openxmlformats.org/officeDocument/2006/relationships/hyperlink" Target="https://github.com/Hungdt115/DataPlantList/tree/main/CMA100" TargetMode="External"/><Relationship Id="rId237" Type="http://schemas.openxmlformats.org/officeDocument/2006/relationships/hyperlink" Target="https://github.com/Hungdt115/DataPlantList/tree/main/XNT100" TargetMode="External"/><Relationship Id="rId279" Type="http://schemas.openxmlformats.org/officeDocument/2006/relationships/hyperlink" Target="https://github.com/Hungdt115/DataPlantList/tree/main/HDP900" TargetMode="External"/><Relationship Id="rId43" Type="http://schemas.openxmlformats.org/officeDocument/2006/relationships/hyperlink" Target="CHS300/" TargetMode="External"/><Relationship Id="rId139" Type="http://schemas.openxmlformats.org/officeDocument/2006/relationships/hyperlink" Target="HCM900/" TargetMode="External"/><Relationship Id="rId290" Type="http://schemas.openxmlformats.org/officeDocument/2006/relationships/hyperlink" Target="https://github.com/Hungdt115/DataPlantList/tree/main/MXTG900" TargetMode="External"/><Relationship Id="rId304" Type="http://schemas.openxmlformats.org/officeDocument/2006/relationships/hyperlink" Target="https://github.com/Hungdt115/DataPlantList/tree/main/NHS900" TargetMode="External"/><Relationship Id="rId346" Type="http://schemas.openxmlformats.org/officeDocument/2006/relationships/hyperlink" Target="https://github.com/Hungdt115/DataPlantList/tree/main/ILNDT900" TargetMode="External"/><Relationship Id="rId85" Type="http://schemas.openxmlformats.org/officeDocument/2006/relationships/hyperlink" Target="XKP100/" TargetMode="External"/><Relationship Id="rId150" Type="http://schemas.openxmlformats.org/officeDocument/2006/relationships/hyperlink" Target="https://github.com/Hungdt115/DataPlantList/tree/main/WHI900" TargetMode="External"/><Relationship Id="rId192" Type="http://schemas.openxmlformats.org/officeDocument/2006/relationships/hyperlink" Target="https://github.com/Hungdt115/DataPlantList/tree/main/MBY300" TargetMode="External"/><Relationship Id="rId206" Type="http://schemas.openxmlformats.org/officeDocument/2006/relationships/hyperlink" Target="https://github.com/Hungdt115/DataPlantList/tree/main/RDP301" TargetMode="External"/><Relationship Id="rId248" Type="http://schemas.openxmlformats.org/officeDocument/2006/relationships/hyperlink" Target="https://github.com/Hungdt115/DataPlantList/tree/main/MRI100" TargetMode="External"/><Relationship Id="rId12" Type="http://schemas.openxmlformats.org/officeDocument/2006/relationships/hyperlink" Target="TBW200/" TargetMode="External"/><Relationship Id="rId108" Type="http://schemas.openxmlformats.org/officeDocument/2006/relationships/hyperlink" Target="MRD300/" TargetMode="External"/><Relationship Id="rId315" Type="http://schemas.openxmlformats.org/officeDocument/2006/relationships/hyperlink" Target="DSTSNSM/" TargetMode="External"/><Relationship Id="rId357" Type="http://schemas.openxmlformats.org/officeDocument/2006/relationships/hyperlink" Target="BP301/" TargetMode="External"/><Relationship Id="rId54" Type="http://schemas.openxmlformats.org/officeDocument/2006/relationships/hyperlink" Target="MPS300/" TargetMode="External"/><Relationship Id="rId96" Type="http://schemas.openxmlformats.org/officeDocument/2006/relationships/hyperlink" Target="XTS100/" TargetMode="External"/><Relationship Id="rId161" Type="http://schemas.openxmlformats.org/officeDocument/2006/relationships/hyperlink" Target="https://github.com/Hungdt115/DataPlantList/tree/main/SAP200" TargetMode="External"/><Relationship Id="rId217" Type="http://schemas.openxmlformats.org/officeDocument/2006/relationships/hyperlink" Target="https://github.com/Hungdt115/DataPlantList/tree/main/TDA100" TargetMode="External"/><Relationship Id="rId259" Type="http://schemas.openxmlformats.org/officeDocument/2006/relationships/hyperlink" Target="https://github.com/Hungdt115/DataPlantList/tree/main/MCG100" TargetMode="External"/><Relationship Id="rId23" Type="http://schemas.openxmlformats.org/officeDocument/2006/relationships/hyperlink" Target="ABA200/" TargetMode="External"/><Relationship Id="rId119" Type="http://schemas.openxmlformats.org/officeDocument/2006/relationships/hyperlink" Target="NNM100/" TargetMode="External"/><Relationship Id="rId270" Type="http://schemas.openxmlformats.org/officeDocument/2006/relationships/hyperlink" Target="https://github.com/Hungdt115/DataPlantList/tree/main/HDD900" TargetMode="External"/><Relationship Id="rId326" Type="http://schemas.openxmlformats.org/officeDocument/2006/relationships/hyperlink" Target="https://github.com/Hungdt115/DataPlantList/tree/main/TT10" TargetMode="External"/><Relationship Id="rId65" Type="http://schemas.openxmlformats.org/officeDocument/2006/relationships/hyperlink" Target="MDT100/" TargetMode="External"/><Relationship Id="rId130" Type="http://schemas.openxmlformats.org/officeDocument/2006/relationships/hyperlink" Target="TTL900/" TargetMode="External"/><Relationship Id="rId368" Type="http://schemas.openxmlformats.org/officeDocument/2006/relationships/hyperlink" Target="https://github.com/Hungdt115/DataPlantList/tree/main/CCSP20" TargetMode="External"/><Relationship Id="rId172" Type="http://schemas.openxmlformats.org/officeDocument/2006/relationships/hyperlink" Target="https://github.com/Hungdt115/DataPlantList/tree/main/CTP900" TargetMode="External"/><Relationship Id="rId228" Type="http://schemas.openxmlformats.org/officeDocument/2006/relationships/hyperlink" Target="https://github.com/Hungdt115/DataPlantList/tree/main/XBC100" TargetMode="External"/><Relationship Id="rId281" Type="http://schemas.openxmlformats.org/officeDocument/2006/relationships/hyperlink" Target="https://github.com/Hungdt115/DataPlantList/tree/main/HLP900" TargetMode="External"/><Relationship Id="rId337" Type="http://schemas.openxmlformats.org/officeDocument/2006/relationships/hyperlink" Target="ODKC900/" TargetMode="External"/><Relationship Id="rId34" Type="http://schemas.openxmlformats.org/officeDocument/2006/relationships/hyperlink" Target="QCD100/" TargetMode="External"/><Relationship Id="rId76" Type="http://schemas.openxmlformats.org/officeDocument/2006/relationships/hyperlink" Target="TMC100/" TargetMode="External"/><Relationship Id="rId141" Type="http://schemas.openxmlformats.org/officeDocument/2006/relationships/hyperlink" Target="NTS900/" TargetMode="External"/><Relationship Id="rId379" Type="http://schemas.openxmlformats.org/officeDocument/2006/relationships/hyperlink" Target="CNW900/" TargetMode="External"/><Relationship Id="rId7" Type="http://schemas.openxmlformats.org/officeDocument/2006/relationships/hyperlink" Target="SAN200/" TargetMode="External"/><Relationship Id="rId183" Type="http://schemas.openxmlformats.org/officeDocument/2006/relationships/hyperlink" Target="https://github.com/Hungdt115/DataPlantList/tree/main/CHK900" TargetMode="External"/><Relationship Id="rId239" Type="http://schemas.openxmlformats.org/officeDocument/2006/relationships/hyperlink" Target="https://github.com/Hungdt115/DataPlantList/tree/main/XSY100" TargetMode="External"/><Relationship Id="rId250" Type="http://schemas.openxmlformats.org/officeDocument/2006/relationships/hyperlink" Target="https://github.com/Hungdt115/DataPlantList/tree/main/MCR100" TargetMode="External"/><Relationship Id="rId292" Type="http://schemas.openxmlformats.org/officeDocument/2006/relationships/hyperlink" Target="https://github.com/Hungdt115/DataPlantList/tree/main/MXTG9001" TargetMode="External"/><Relationship Id="rId306" Type="http://schemas.openxmlformats.org/officeDocument/2006/relationships/hyperlink" Target="https://github.com/Hungdt115/DataPlantList/tree/main/HHCV900" TargetMode="External"/><Relationship Id="rId45" Type="http://schemas.openxmlformats.org/officeDocument/2006/relationships/hyperlink" Target="MKD300/" TargetMode="External"/><Relationship Id="rId87" Type="http://schemas.openxmlformats.org/officeDocument/2006/relationships/hyperlink" Target="XMH100/" TargetMode="External"/><Relationship Id="rId110" Type="http://schemas.openxmlformats.org/officeDocument/2006/relationships/hyperlink" Target="NTR300/" TargetMode="External"/><Relationship Id="rId348" Type="http://schemas.openxmlformats.org/officeDocument/2006/relationships/hyperlink" Target="https://github.com/Hungdt115/DataPlantList/tree/main/AP2NDT900" TargetMode="External"/><Relationship Id="rId152" Type="http://schemas.openxmlformats.org/officeDocument/2006/relationships/hyperlink" Target="https://github.com/Hungdt115/DataPlantList/tree/main/CHU200" TargetMode="External"/><Relationship Id="rId194" Type="http://schemas.openxmlformats.org/officeDocument/2006/relationships/hyperlink" Target="https://github.com/Hungdt115/DataPlantList/tree/main/MMI300" TargetMode="External"/><Relationship Id="rId208" Type="http://schemas.openxmlformats.org/officeDocument/2006/relationships/hyperlink" Target="https://github.com/Hungdt115/DataPlantList/tree/main/MDD100" TargetMode="External"/><Relationship Id="rId261" Type="http://schemas.openxmlformats.org/officeDocument/2006/relationships/hyperlink" Target="https://github.com/Hungdt115/DataPlantList/tree/main/NSS100" TargetMode="External"/><Relationship Id="rId14" Type="http://schemas.openxmlformats.org/officeDocument/2006/relationships/hyperlink" Target="XXR900/" TargetMode="External"/><Relationship Id="rId56" Type="http://schemas.openxmlformats.org/officeDocument/2006/relationships/hyperlink" Target="MRH300/" TargetMode="External"/><Relationship Id="rId317" Type="http://schemas.openxmlformats.org/officeDocument/2006/relationships/hyperlink" Target="DSTSNSXL/" TargetMode="External"/><Relationship Id="rId359" Type="http://schemas.openxmlformats.org/officeDocument/2006/relationships/hyperlink" Target="XRI100/" TargetMode="External"/><Relationship Id="rId98" Type="http://schemas.openxmlformats.org/officeDocument/2006/relationships/hyperlink" Target="SIS100/" TargetMode="External"/><Relationship Id="rId121" Type="http://schemas.openxmlformats.org/officeDocument/2006/relationships/hyperlink" Target="NPI100/" TargetMode="External"/><Relationship Id="rId163" Type="http://schemas.openxmlformats.org/officeDocument/2006/relationships/hyperlink" Target="https://github.com/Hungdt115/DataPlantList/tree/main/DAT200" TargetMode="External"/><Relationship Id="rId219" Type="http://schemas.openxmlformats.org/officeDocument/2006/relationships/hyperlink" Target="https://github.com/Hungdt115/DataPlantList/tree/main/TAA100" TargetMode="External"/><Relationship Id="rId370" Type="http://schemas.openxmlformats.org/officeDocument/2006/relationships/hyperlink" Target="https://github.com/Hungdt115/DataPlantList/tree/main/CCSP30" TargetMode="External"/><Relationship Id="rId230" Type="http://schemas.openxmlformats.org/officeDocument/2006/relationships/hyperlink" Target="https://github.com/Hungdt115/DataPlantList/tree/main/XKF100" TargetMode="External"/><Relationship Id="rId25" Type="http://schemas.openxmlformats.org/officeDocument/2006/relationships/hyperlink" Target="BDP200/" TargetMode="External"/><Relationship Id="rId67" Type="http://schemas.openxmlformats.org/officeDocument/2006/relationships/hyperlink" Target="MDJ101/" TargetMode="External"/><Relationship Id="rId272" Type="http://schemas.openxmlformats.org/officeDocument/2006/relationships/hyperlink" Target="https://github.com/Hungdt115/DataPlantList/tree/main/LHP900" TargetMode="External"/><Relationship Id="rId328" Type="http://schemas.openxmlformats.org/officeDocument/2006/relationships/hyperlink" Target="https://github.com/Hungdt115/DataPlantList/tree/main/TT20" TargetMode="External"/><Relationship Id="rId132" Type="http://schemas.openxmlformats.org/officeDocument/2006/relationships/hyperlink" Target="BRX900/" TargetMode="External"/><Relationship Id="rId174" Type="http://schemas.openxmlformats.org/officeDocument/2006/relationships/hyperlink" Target="https://github.com/Hungdt115/DataPlantList/tree/main/CCH100" TargetMode="External"/><Relationship Id="rId381" Type="http://schemas.openxmlformats.org/officeDocument/2006/relationships/hyperlink" Target="ORLV900/" TargetMode="External"/><Relationship Id="rId241" Type="http://schemas.openxmlformats.org/officeDocument/2006/relationships/hyperlink" Target="https://github.com/Hungdt115/DataPlantList/tree/main/ODA100" TargetMode="External"/><Relationship Id="rId36" Type="http://schemas.openxmlformats.org/officeDocument/2006/relationships/hyperlink" Target="ORG100/" TargetMode="External"/><Relationship Id="rId283" Type="http://schemas.openxmlformats.org/officeDocument/2006/relationships/hyperlink" Target="https://github.com/Hungdt115/DataPlantList/tree/main/HCM900" TargetMode="External"/><Relationship Id="rId339" Type="http://schemas.openxmlformats.org/officeDocument/2006/relationships/hyperlink" Target="LSNDT900/" TargetMode="External"/><Relationship Id="rId78" Type="http://schemas.openxmlformats.org/officeDocument/2006/relationships/hyperlink" Target="TRK100/" TargetMode="External"/><Relationship Id="rId101" Type="http://schemas.openxmlformats.org/officeDocument/2006/relationships/hyperlink" Target="OSR100/" TargetMode="External"/><Relationship Id="rId143" Type="http://schemas.openxmlformats.org/officeDocument/2006/relationships/hyperlink" Target="NTR900/" TargetMode="External"/><Relationship Id="rId185" Type="http://schemas.openxmlformats.org/officeDocument/2006/relationships/hyperlink" Target="https://github.com/Hungdt115/DataPlantList/tree/main/CHG400" TargetMode="External"/><Relationship Id="rId350" Type="http://schemas.openxmlformats.org/officeDocument/2006/relationships/hyperlink" Target="https://github.com/Hungdt115/DataPlantList/tree/main/MHR900" TargetMode="External"/><Relationship Id="rId9" Type="http://schemas.openxmlformats.org/officeDocument/2006/relationships/hyperlink" Target="PUP200/" TargetMode="External"/><Relationship Id="rId210" Type="http://schemas.openxmlformats.org/officeDocument/2006/relationships/hyperlink" Target="https://github.com/Hungdt115/DataPlantList/tree/main/MDJ100" TargetMode="External"/><Relationship Id="rId252" Type="http://schemas.openxmlformats.org/officeDocument/2006/relationships/hyperlink" Target="https://github.com/Hungdt115/DataPlantList/tree/main/MRD300" TargetMode="External"/><Relationship Id="rId294" Type="http://schemas.openxmlformats.org/officeDocument/2006/relationships/hyperlink" Target="https://github.com/Hungdt115/DataPlantList/tree/main/SH900" TargetMode="External"/><Relationship Id="rId308" Type="http://schemas.openxmlformats.org/officeDocument/2006/relationships/hyperlink" Target="https://github.com/Hungdt115/DataPlantList/tree/main/HHT900" TargetMode="External"/><Relationship Id="rId47" Type="http://schemas.openxmlformats.org/officeDocument/2006/relationships/hyperlink" Target="MDT300/" TargetMode="External"/><Relationship Id="rId68" Type="http://schemas.openxmlformats.org/officeDocument/2006/relationships/hyperlink" Target="MNB200/" TargetMode="External"/><Relationship Id="rId89" Type="http://schemas.openxmlformats.org/officeDocument/2006/relationships/hyperlink" Target="XDU100/" TargetMode="External"/><Relationship Id="rId112" Type="http://schemas.openxmlformats.org/officeDocument/2006/relationships/hyperlink" Target="NDN900/" TargetMode="External"/><Relationship Id="rId133" Type="http://schemas.openxmlformats.org/officeDocument/2006/relationships/hyperlink" Target="BRK900/" TargetMode="External"/><Relationship Id="rId154" Type="http://schemas.openxmlformats.org/officeDocument/2006/relationships/hyperlink" Target="https://github.com/Hungdt115/DataPlantList/tree/main/HSO100" TargetMode="External"/><Relationship Id="rId175" Type="http://schemas.openxmlformats.org/officeDocument/2006/relationships/hyperlink" Target="https://github.com/Hungdt115/DataPlantList/tree/main/CSO100" TargetMode="External"/><Relationship Id="rId340" Type="http://schemas.openxmlformats.org/officeDocument/2006/relationships/hyperlink" Target="https://github.com/Hungdt115/DataPlantList/tree/main/LSNDT900" TargetMode="External"/><Relationship Id="rId361" Type="http://schemas.openxmlformats.org/officeDocument/2006/relationships/hyperlink" Target="CHCC900/" TargetMode="External"/><Relationship Id="rId196" Type="http://schemas.openxmlformats.org/officeDocument/2006/relationships/hyperlink" Target="https://github.com/Hungdt115/DataPlantList/tree/main/MMN300" TargetMode="External"/><Relationship Id="rId200" Type="http://schemas.openxmlformats.org/officeDocument/2006/relationships/hyperlink" Target="https://github.com/Hungdt115/DataPlantList/tree/main/MRH300" TargetMode="External"/><Relationship Id="rId382" Type="http://schemas.openxmlformats.org/officeDocument/2006/relationships/hyperlink" Target="https://github.com/Hungdt115/DataPlantList/tree/main/ORLV900" TargetMode="External"/><Relationship Id="rId16" Type="http://schemas.openxmlformats.org/officeDocument/2006/relationships/hyperlink" Target="ROS100/" TargetMode="External"/><Relationship Id="rId221" Type="http://schemas.openxmlformats.org/officeDocument/2006/relationships/hyperlink" Target="https://github.com/Hungdt115/DataPlantList/tree/main/TA6100" TargetMode="External"/><Relationship Id="rId242" Type="http://schemas.openxmlformats.org/officeDocument/2006/relationships/hyperlink" Target="https://github.com/Hungdt115/DataPlantList/tree/main/SIS100" TargetMode="External"/><Relationship Id="rId263" Type="http://schemas.openxmlformats.org/officeDocument/2006/relationships/hyperlink" Target="https://github.com/Hungdt115/DataPlantList/tree/main/NNM100" TargetMode="External"/><Relationship Id="rId284" Type="http://schemas.openxmlformats.org/officeDocument/2006/relationships/hyperlink" Target="https://github.com/Hungdt115/DataPlantList/tree/main/HPT900" TargetMode="External"/><Relationship Id="rId319" Type="http://schemas.openxmlformats.org/officeDocument/2006/relationships/hyperlink" Target="RRSLMTDC/" TargetMode="External"/><Relationship Id="rId37" Type="http://schemas.openxmlformats.org/officeDocument/2006/relationships/hyperlink" Target="CMA100/" TargetMode="External"/><Relationship Id="rId58" Type="http://schemas.openxmlformats.org/officeDocument/2006/relationships/hyperlink" Target="MND900/" TargetMode="External"/><Relationship Id="rId79" Type="http://schemas.openxmlformats.org/officeDocument/2006/relationships/hyperlink" Target="TRL100/" TargetMode="External"/><Relationship Id="rId102" Type="http://schemas.openxmlformats.org/officeDocument/2006/relationships/hyperlink" Target="OSS100/" TargetMode="External"/><Relationship Id="rId123" Type="http://schemas.openxmlformats.org/officeDocument/2006/relationships/hyperlink" Target="VKL300/" TargetMode="External"/><Relationship Id="rId144" Type="http://schemas.openxmlformats.org/officeDocument/2006/relationships/hyperlink" Target="NTT900/" TargetMode="External"/><Relationship Id="rId330" Type="http://schemas.openxmlformats.org/officeDocument/2006/relationships/hyperlink" Target="https://github.com/Hungdt115/DataPlantList/tree/main/HND900" TargetMode="External"/><Relationship Id="rId90" Type="http://schemas.openxmlformats.org/officeDocument/2006/relationships/hyperlink" Target="XDE100/" TargetMode="External"/><Relationship Id="rId165" Type="http://schemas.openxmlformats.org/officeDocument/2006/relationships/hyperlink" Target="https://github.com/Hungdt115/DataPlantList/tree/main/CFV200" TargetMode="External"/><Relationship Id="rId186" Type="http://schemas.openxmlformats.org/officeDocument/2006/relationships/hyperlink" Target="https://github.com/Hungdt115/DataPlantList/tree/main/CHD900" TargetMode="External"/><Relationship Id="rId351" Type="http://schemas.openxmlformats.org/officeDocument/2006/relationships/hyperlink" Target="CAQ900/" TargetMode="External"/><Relationship Id="rId372" Type="http://schemas.openxmlformats.org/officeDocument/2006/relationships/hyperlink" Target="https://github.com/Hungdt115/DataPlantList/tree/main/DSSN900" TargetMode="External"/><Relationship Id="rId211" Type="http://schemas.openxmlformats.org/officeDocument/2006/relationships/hyperlink" Target="https://github.com/Hungdt115/DataPlantList/tree/main/MDJ101" TargetMode="External"/><Relationship Id="rId232" Type="http://schemas.openxmlformats.org/officeDocument/2006/relationships/hyperlink" Target="https://github.com/Hungdt115/DataPlantList/tree/main/XTN100" TargetMode="External"/><Relationship Id="rId253" Type="http://schemas.openxmlformats.org/officeDocument/2006/relationships/hyperlink" Target="https://github.com/Hungdt115/DataPlantList/tree/main/MKE300" TargetMode="External"/><Relationship Id="rId274" Type="http://schemas.openxmlformats.org/officeDocument/2006/relationships/hyperlink" Target="https://github.com/Hungdt115/DataPlantList/tree/main/TTL900" TargetMode="External"/><Relationship Id="rId295" Type="http://schemas.openxmlformats.org/officeDocument/2006/relationships/hyperlink" Target="MLCNMHT900/" TargetMode="External"/><Relationship Id="rId309" Type="http://schemas.openxmlformats.org/officeDocument/2006/relationships/hyperlink" Target="HNV900/" TargetMode="External"/><Relationship Id="rId27" Type="http://schemas.openxmlformats.org/officeDocument/2006/relationships/hyperlink" Target="CHM900/" TargetMode="External"/><Relationship Id="rId48" Type="http://schemas.openxmlformats.org/officeDocument/2006/relationships/hyperlink" Target="MBY300/" TargetMode="External"/><Relationship Id="rId69" Type="http://schemas.openxmlformats.org/officeDocument/2006/relationships/hyperlink" Target="MDV100/" TargetMode="External"/><Relationship Id="rId113" Type="http://schemas.openxmlformats.org/officeDocument/2006/relationships/hyperlink" Target="NTM201/" TargetMode="External"/><Relationship Id="rId134" Type="http://schemas.openxmlformats.org/officeDocument/2006/relationships/hyperlink" Target="BDK900/" TargetMode="External"/><Relationship Id="rId320" Type="http://schemas.openxmlformats.org/officeDocument/2006/relationships/hyperlink" Target="https://github.com/Hungdt115/DataPlantList/tree/main/RRSLMTDC" TargetMode="External"/><Relationship Id="rId80" Type="http://schemas.openxmlformats.org/officeDocument/2006/relationships/hyperlink" Target="TRX100/" TargetMode="External"/><Relationship Id="rId155" Type="http://schemas.openxmlformats.org/officeDocument/2006/relationships/hyperlink" Target="https://github.com/Hungdt115/DataPlantList/tree/main/HQK200" TargetMode="External"/><Relationship Id="rId176" Type="http://schemas.openxmlformats.org/officeDocument/2006/relationships/hyperlink" Target="https://github.com/Hungdt115/DataPlantList/tree/main/CMT100" TargetMode="External"/><Relationship Id="rId197" Type="http://schemas.openxmlformats.org/officeDocument/2006/relationships/hyperlink" Target="https://github.com/Hungdt115/DataPlantList/tree/main/MCT300" TargetMode="External"/><Relationship Id="rId341" Type="http://schemas.openxmlformats.org/officeDocument/2006/relationships/hyperlink" Target="RGNDT900/" TargetMode="External"/><Relationship Id="rId362" Type="http://schemas.openxmlformats.org/officeDocument/2006/relationships/hyperlink" Target="https://github.com/Hungdt115/DataPlantList/tree/main/CHCC900" TargetMode="External"/><Relationship Id="rId383" Type="http://schemas.openxmlformats.org/officeDocument/2006/relationships/drawing" Target="../drawings/drawing2.xml"/><Relationship Id="rId201" Type="http://schemas.openxmlformats.org/officeDocument/2006/relationships/hyperlink" Target="https://github.com/Hungdt115/DataPlantList/tree/main/MGL300" TargetMode="External"/><Relationship Id="rId222" Type="http://schemas.openxmlformats.org/officeDocument/2006/relationships/hyperlink" Target="https://github.com/Hungdt115/DataPlantList/tree/main/TRK100" TargetMode="External"/><Relationship Id="rId243" Type="http://schemas.openxmlformats.org/officeDocument/2006/relationships/hyperlink" Target="https://github.com/Hungdt115/DataPlantList/tree/main/KDK100" TargetMode="External"/><Relationship Id="rId264" Type="http://schemas.openxmlformats.org/officeDocument/2006/relationships/hyperlink" Target="https://github.com/Hungdt115/DataPlantList/tree/main/NAG100" TargetMode="External"/><Relationship Id="rId285" Type="http://schemas.openxmlformats.org/officeDocument/2006/relationships/hyperlink" Target="https://github.com/Hungdt115/DataPlantList/tree/main/NTS900" TargetMode="External"/><Relationship Id="rId17" Type="http://schemas.openxmlformats.org/officeDocument/2006/relationships/hyperlink" Target="SAP200/" TargetMode="External"/><Relationship Id="rId38" Type="http://schemas.openxmlformats.org/officeDocument/2006/relationships/hyperlink" Target="BRS100/" TargetMode="External"/><Relationship Id="rId59" Type="http://schemas.openxmlformats.org/officeDocument/2006/relationships/hyperlink" Target="SBB301/" TargetMode="External"/><Relationship Id="rId103" Type="http://schemas.openxmlformats.org/officeDocument/2006/relationships/hyperlink" Target="MSL100/" TargetMode="External"/><Relationship Id="rId124" Type="http://schemas.openxmlformats.org/officeDocument/2006/relationships/hyperlink" Target="HBB900/" TargetMode="External"/><Relationship Id="rId310" Type="http://schemas.openxmlformats.org/officeDocument/2006/relationships/hyperlink" Target="https://github.com/Hungdt115/DataPlantList/tree/main/HNV900" TargetMode="External"/><Relationship Id="rId70" Type="http://schemas.openxmlformats.org/officeDocument/2006/relationships/hyperlink" Target="MDJ102/" TargetMode="External"/><Relationship Id="rId91" Type="http://schemas.openxmlformats.org/officeDocument/2006/relationships/hyperlink" Target="XKC100/" TargetMode="External"/><Relationship Id="rId145" Type="http://schemas.openxmlformats.org/officeDocument/2006/relationships/hyperlink" Target="https://github.com/Hungdt115/DataPlantList/tree/main/TAM100" TargetMode="External"/><Relationship Id="rId166" Type="http://schemas.openxmlformats.org/officeDocument/2006/relationships/hyperlink" Target="https://github.com/Hungdt115/DataPlantList/tree/main/BBJ200" TargetMode="External"/><Relationship Id="rId187" Type="http://schemas.openxmlformats.org/officeDocument/2006/relationships/hyperlink" Target="https://github.com/Hungdt115/DataPlantList/tree/main/CHS300" TargetMode="External"/><Relationship Id="rId331" Type="http://schemas.openxmlformats.org/officeDocument/2006/relationships/hyperlink" Target="CPH900/" TargetMode="External"/><Relationship Id="rId352" Type="http://schemas.openxmlformats.org/officeDocument/2006/relationships/hyperlink" Target="https://github.com/Hungdt115/DataPlantList/tree/main/CAQ900" TargetMode="External"/><Relationship Id="rId373" Type="http://schemas.openxmlformats.org/officeDocument/2006/relationships/hyperlink" Target="DSSN901/" TargetMode="External"/><Relationship Id="rId1" Type="http://schemas.openxmlformats.org/officeDocument/2006/relationships/hyperlink" Target="TAM100/" TargetMode="External"/><Relationship Id="rId212" Type="http://schemas.openxmlformats.org/officeDocument/2006/relationships/hyperlink" Target="https://github.com/Hungdt115/DataPlantList/tree/main/MNB200" TargetMode="External"/><Relationship Id="rId233" Type="http://schemas.openxmlformats.org/officeDocument/2006/relationships/hyperlink" Target="https://github.com/Hungdt115/DataPlantList/tree/main/XDU100" TargetMode="External"/><Relationship Id="rId254" Type="http://schemas.openxmlformats.org/officeDocument/2006/relationships/hyperlink" Target="https://github.com/Hungdt115/DataPlantList/tree/main/NTR300" TargetMode="External"/><Relationship Id="rId28" Type="http://schemas.openxmlformats.org/officeDocument/2006/relationships/hyperlink" Target="CTP900/" TargetMode="External"/><Relationship Id="rId49" Type="http://schemas.openxmlformats.org/officeDocument/2006/relationships/hyperlink" Target="MKC300/" TargetMode="External"/><Relationship Id="rId114" Type="http://schemas.openxmlformats.org/officeDocument/2006/relationships/hyperlink" Target="TNH100/" TargetMode="External"/><Relationship Id="rId275" Type="http://schemas.openxmlformats.org/officeDocument/2006/relationships/hyperlink" Target="https://github.com/Hungdt115/DataPlantList/tree/main/HDC900" TargetMode="External"/><Relationship Id="rId296" Type="http://schemas.openxmlformats.org/officeDocument/2006/relationships/hyperlink" Target="https://github.com/Hungdt115/DataPlantList/tree/main/MLCNMHT900" TargetMode="External"/><Relationship Id="rId300" Type="http://schemas.openxmlformats.org/officeDocument/2006/relationships/hyperlink" Target="https://github.com/Hungdt115/DataPlantList/tree/main/MLHN900" TargetMode="External"/><Relationship Id="rId60" Type="http://schemas.openxmlformats.org/officeDocument/2006/relationships/hyperlink" Target="CIN301/" TargetMode="External"/><Relationship Id="rId81" Type="http://schemas.openxmlformats.org/officeDocument/2006/relationships/hyperlink" Target="TRW900/" TargetMode="External"/><Relationship Id="rId135" Type="http://schemas.openxmlformats.org/officeDocument/2006/relationships/hyperlink" Target="HDP900/" TargetMode="External"/><Relationship Id="rId156" Type="http://schemas.openxmlformats.org/officeDocument/2006/relationships/hyperlink" Target="https://github.com/Hungdt115/DataPlantList/tree/main/TBW200" TargetMode="External"/><Relationship Id="rId177" Type="http://schemas.openxmlformats.org/officeDocument/2006/relationships/hyperlink" Target="https://github.com/Hungdt115/DataPlantList/tree/main/CHY100" TargetMode="External"/><Relationship Id="rId198" Type="http://schemas.openxmlformats.org/officeDocument/2006/relationships/hyperlink" Target="https://github.com/Hungdt115/DataPlantList/tree/main/MPS300" TargetMode="External"/><Relationship Id="rId321" Type="http://schemas.openxmlformats.org/officeDocument/2006/relationships/hyperlink" Target="RRSMMTMC/" TargetMode="External"/><Relationship Id="rId342" Type="http://schemas.openxmlformats.org/officeDocument/2006/relationships/hyperlink" Target="https://github.com/Hungdt115/DataPlantList/tree/main/RGNDT900" TargetMode="External"/><Relationship Id="rId363" Type="http://schemas.openxmlformats.org/officeDocument/2006/relationships/hyperlink" Target="NSR900/" TargetMode="External"/><Relationship Id="rId384" Type="http://schemas.openxmlformats.org/officeDocument/2006/relationships/vmlDrawing" Target="../drawings/vmlDrawing2.vml"/><Relationship Id="rId202" Type="http://schemas.openxmlformats.org/officeDocument/2006/relationships/hyperlink" Target="https://github.com/Hungdt115/DataPlantList/tree/main/MND900" TargetMode="External"/><Relationship Id="rId223" Type="http://schemas.openxmlformats.org/officeDocument/2006/relationships/hyperlink" Target="https://github.com/Hungdt115/DataPlantList/tree/main/TRL100" TargetMode="External"/><Relationship Id="rId244" Type="http://schemas.openxmlformats.org/officeDocument/2006/relationships/hyperlink" Target="https://github.com/Hungdt115/DataPlantList/tree/main/OBR900" TargetMode="External"/><Relationship Id="rId18" Type="http://schemas.openxmlformats.org/officeDocument/2006/relationships/hyperlink" Target="MCV100/" TargetMode="External"/><Relationship Id="rId39" Type="http://schemas.openxmlformats.org/officeDocument/2006/relationships/hyperlink" Target="CHK900/" TargetMode="External"/><Relationship Id="rId265" Type="http://schemas.openxmlformats.org/officeDocument/2006/relationships/hyperlink" Target="https://github.com/Hungdt115/DataPlantList/tree/main/NPI100" TargetMode="External"/><Relationship Id="rId286" Type="http://schemas.openxmlformats.org/officeDocument/2006/relationships/hyperlink" Target="https://github.com/Hungdt115/DataPlantList/tree/main/NTV900" TargetMode="External"/><Relationship Id="rId50" Type="http://schemas.openxmlformats.org/officeDocument/2006/relationships/hyperlink" Target="MMI300/" TargetMode="External"/><Relationship Id="rId104" Type="http://schemas.openxmlformats.org/officeDocument/2006/relationships/hyperlink" Target="MRI100/" TargetMode="External"/><Relationship Id="rId125" Type="http://schemas.openxmlformats.org/officeDocument/2006/relationships/hyperlink" Target="HHS900/" TargetMode="External"/><Relationship Id="rId146" Type="http://schemas.openxmlformats.org/officeDocument/2006/relationships/hyperlink" Target="https://github.com/Hungdt115/DataPlantList/tree/main/JOC200" TargetMode="External"/><Relationship Id="rId167" Type="http://schemas.openxmlformats.org/officeDocument/2006/relationships/hyperlink" Target="https://github.com/Hungdt115/DataPlantList/tree/main/ABA200" TargetMode="External"/><Relationship Id="rId188" Type="http://schemas.openxmlformats.org/officeDocument/2006/relationships/hyperlink" Target="https://github.com/Hungdt115/DataPlantList/tree/main/MDA300" TargetMode="External"/><Relationship Id="rId311" Type="http://schemas.openxmlformats.org/officeDocument/2006/relationships/hyperlink" Target="S900/" TargetMode="External"/><Relationship Id="rId332" Type="http://schemas.openxmlformats.org/officeDocument/2006/relationships/hyperlink" Target="https://github.com/Hungdt115/DataPlantList/tree/main/CPH900" TargetMode="External"/><Relationship Id="rId353" Type="http://schemas.openxmlformats.org/officeDocument/2006/relationships/hyperlink" Target="HQKG300/" TargetMode="External"/><Relationship Id="rId374" Type="http://schemas.openxmlformats.org/officeDocument/2006/relationships/hyperlink" Target="https://github.com/Hungdt115/DataPlantList/tree/main/DSSN901" TargetMode="External"/><Relationship Id="rId71" Type="http://schemas.openxmlformats.org/officeDocument/2006/relationships/hyperlink" Target="TA3100/" TargetMode="External"/><Relationship Id="rId92" Type="http://schemas.openxmlformats.org/officeDocument/2006/relationships/hyperlink" Target="XXS100/" TargetMode="External"/><Relationship Id="rId213" Type="http://schemas.openxmlformats.org/officeDocument/2006/relationships/hyperlink" Target="https://github.com/Hungdt115/DataPlantList/tree/main/MDV100" TargetMode="External"/><Relationship Id="rId234" Type="http://schemas.openxmlformats.org/officeDocument/2006/relationships/hyperlink" Target="https://github.com/Hungdt115/DataPlantList/tree/main/XDE100" TargetMode="External"/><Relationship Id="rId2" Type="http://schemas.openxmlformats.org/officeDocument/2006/relationships/hyperlink" Target="JOC200/" TargetMode="External"/><Relationship Id="rId29" Type="http://schemas.openxmlformats.org/officeDocument/2006/relationships/hyperlink" Target="CMG900/" TargetMode="External"/><Relationship Id="rId255" Type="http://schemas.openxmlformats.org/officeDocument/2006/relationships/hyperlink" Target="https://github.com/Hungdt115/DataPlantList/tree/main/NXA900" TargetMode="External"/><Relationship Id="rId276" Type="http://schemas.openxmlformats.org/officeDocument/2006/relationships/hyperlink" Target="https://github.com/Hungdt115/DataPlantList/tree/main/BRX900" TargetMode="External"/><Relationship Id="rId297" Type="http://schemas.openxmlformats.org/officeDocument/2006/relationships/hyperlink" Target="MLCNMD900/" TargetMode="External"/><Relationship Id="rId40" Type="http://schemas.openxmlformats.org/officeDocument/2006/relationships/hyperlink" Target="CHV900/" TargetMode="External"/><Relationship Id="rId115" Type="http://schemas.openxmlformats.org/officeDocument/2006/relationships/hyperlink" Target="MCG100/" TargetMode="External"/><Relationship Id="rId136" Type="http://schemas.openxmlformats.org/officeDocument/2006/relationships/hyperlink" Target="HBD900/" TargetMode="External"/><Relationship Id="rId157" Type="http://schemas.openxmlformats.org/officeDocument/2006/relationships/hyperlink" Target="https://github.com/Hungdt115/DataPlantList/tree/main/TBK200" TargetMode="External"/><Relationship Id="rId178" Type="http://schemas.openxmlformats.org/officeDocument/2006/relationships/hyperlink" Target="https://github.com/Hungdt115/DataPlantList/tree/main/QCD100" TargetMode="External"/><Relationship Id="rId301" Type="http://schemas.openxmlformats.org/officeDocument/2006/relationships/hyperlink" Target="MLV900/" TargetMode="External"/><Relationship Id="rId322" Type="http://schemas.openxmlformats.org/officeDocument/2006/relationships/hyperlink" Target="https://github.com/Hungdt115/DataPlantList/tree/main/RRSMMTMC" TargetMode="External"/><Relationship Id="rId343" Type="http://schemas.openxmlformats.org/officeDocument/2006/relationships/hyperlink" Target="GNDT900/" TargetMode="External"/><Relationship Id="rId364" Type="http://schemas.openxmlformats.org/officeDocument/2006/relationships/hyperlink" Target="https://github.com/Hungdt115/DataPlantList/tree/main/NSR900" TargetMode="External"/><Relationship Id="rId61" Type="http://schemas.openxmlformats.org/officeDocument/2006/relationships/hyperlink" Target="BLR301/" TargetMode="External"/><Relationship Id="rId82" Type="http://schemas.openxmlformats.org/officeDocument/2006/relationships/hyperlink" Target="TRH900/" TargetMode="External"/><Relationship Id="rId199" Type="http://schemas.openxmlformats.org/officeDocument/2006/relationships/hyperlink" Target="https://github.com/Hungdt115/DataPlantList/tree/main/MMD300" TargetMode="External"/><Relationship Id="rId203" Type="http://schemas.openxmlformats.org/officeDocument/2006/relationships/hyperlink" Target="https://github.com/Hungdt115/DataPlantList/tree/main/SBB301" TargetMode="External"/><Relationship Id="rId385" Type="http://schemas.openxmlformats.org/officeDocument/2006/relationships/ctrlProp" Target="../ctrlProps/ctrlProp2.xml"/><Relationship Id="rId19" Type="http://schemas.openxmlformats.org/officeDocument/2006/relationships/hyperlink" Target="DAT200/" TargetMode="External"/><Relationship Id="rId224" Type="http://schemas.openxmlformats.org/officeDocument/2006/relationships/hyperlink" Target="https://github.com/Hungdt115/DataPlantList/tree/main/TRX100" TargetMode="External"/><Relationship Id="rId245" Type="http://schemas.openxmlformats.org/officeDocument/2006/relationships/hyperlink" Target="https://github.com/Hungdt115/DataPlantList/tree/main/OSR100" TargetMode="External"/><Relationship Id="rId266" Type="http://schemas.openxmlformats.org/officeDocument/2006/relationships/hyperlink" Target="https://github.com/Hungdt115/DataPlantList/tree/main/VKH300" TargetMode="External"/><Relationship Id="rId287" Type="http://schemas.openxmlformats.org/officeDocument/2006/relationships/hyperlink" Target="https://github.com/Hungdt115/DataPlantList/tree/main/NTR900" TargetMode="External"/><Relationship Id="rId30" Type="http://schemas.openxmlformats.org/officeDocument/2006/relationships/hyperlink" Target="CCH100/" TargetMode="External"/><Relationship Id="rId105" Type="http://schemas.openxmlformats.org/officeDocument/2006/relationships/hyperlink" Target="MCH100/" TargetMode="External"/><Relationship Id="rId126" Type="http://schemas.openxmlformats.org/officeDocument/2006/relationships/hyperlink" Target="HDD900/" TargetMode="External"/><Relationship Id="rId147" Type="http://schemas.openxmlformats.org/officeDocument/2006/relationships/hyperlink" Target="https://github.com/Hungdt115/DataPlantList/tree/main/CHO200" TargetMode="External"/><Relationship Id="rId168" Type="http://schemas.openxmlformats.org/officeDocument/2006/relationships/hyperlink" Target="https://github.com/Hungdt115/DataPlantList/tree/main/LAM200" TargetMode="External"/><Relationship Id="rId312" Type="http://schemas.openxmlformats.org/officeDocument/2006/relationships/hyperlink" Target="https://github.com/Hungdt115/DataPlantList/tree/main/S900" TargetMode="External"/><Relationship Id="rId333" Type="http://schemas.openxmlformats.org/officeDocument/2006/relationships/hyperlink" Target="CCH900/" TargetMode="External"/><Relationship Id="rId354" Type="http://schemas.openxmlformats.org/officeDocument/2006/relationships/hyperlink" Target="https://github.com/Hungdt115/DataPlantList/tree/main/HQKG300" TargetMode="External"/><Relationship Id="rId51" Type="http://schemas.openxmlformats.org/officeDocument/2006/relationships/hyperlink" Target="MGG300/" TargetMode="External"/><Relationship Id="rId72" Type="http://schemas.openxmlformats.org/officeDocument/2006/relationships/hyperlink" Target="TTT100/" TargetMode="External"/><Relationship Id="rId93" Type="http://schemas.openxmlformats.org/officeDocument/2006/relationships/hyperlink" Target="XNT100/" TargetMode="External"/><Relationship Id="rId189" Type="http://schemas.openxmlformats.org/officeDocument/2006/relationships/hyperlink" Target="https://github.com/Hungdt115/DataPlantList/tree/main/MKD300" TargetMode="External"/><Relationship Id="rId375" Type="http://schemas.openxmlformats.org/officeDocument/2006/relationships/hyperlink" Target="NRCHEI/" TargetMode="External"/><Relationship Id="rId3" Type="http://schemas.openxmlformats.org/officeDocument/2006/relationships/hyperlink" Target="CHO200/" TargetMode="External"/><Relationship Id="rId214" Type="http://schemas.openxmlformats.org/officeDocument/2006/relationships/hyperlink" Target="https://github.com/Hungdt115/DataPlantList/tree/main/MDJ102" TargetMode="External"/><Relationship Id="rId235" Type="http://schemas.openxmlformats.org/officeDocument/2006/relationships/hyperlink" Target="https://github.com/Hungdt115/DataPlantList/tree/main/XKC100" TargetMode="External"/><Relationship Id="rId256" Type="http://schemas.openxmlformats.org/officeDocument/2006/relationships/hyperlink" Target="https://github.com/Hungdt115/DataPlantList/tree/main/NDN900" TargetMode="External"/><Relationship Id="rId277" Type="http://schemas.openxmlformats.org/officeDocument/2006/relationships/hyperlink" Target="https://github.com/Hungdt115/DataPlantList/tree/main/BRK900" TargetMode="External"/><Relationship Id="rId298" Type="http://schemas.openxmlformats.org/officeDocument/2006/relationships/hyperlink" Target="https://github.com/Hungdt115/DataPlantList/tree/main/MLCNMD900" TargetMode="External"/><Relationship Id="rId116" Type="http://schemas.openxmlformats.org/officeDocument/2006/relationships/hyperlink" Target="MCL100/" TargetMode="External"/><Relationship Id="rId137" Type="http://schemas.openxmlformats.org/officeDocument/2006/relationships/hyperlink" Target="HLP900/" TargetMode="External"/><Relationship Id="rId158" Type="http://schemas.openxmlformats.org/officeDocument/2006/relationships/hyperlink" Target="https://github.com/Hungdt115/DataPlantList/tree/main/XXR900" TargetMode="External"/><Relationship Id="rId302" Type="http://schemas.openxmlformats.org/officeDocument/2006/relationships/hyperlink" Target="https://github.com/Hungdt115/DataPlantList/tree/main/MLV900" TargetMode="External"/><Relationship Id="rId323" Type="http://schemas.openxmlformats.org/officeDocument/2006/relationships/hyperlink" Target="TT1/" TargetMode="External"/><Relationship Id="rId344" Type="http://schemas.openxmlformats.org/officeDocument/2006/relationships/hyperlink" Target="https://github.com/Hungdt115/DataPlantList/tree/main/GNDT900" TargetMode="External"/><Relationship Id="rId20" Type="http://schemas.openxmlformats.org/officeDocument/2006/relationships/hyperlink" Target="KNG100/" TargetMode="External"/><Relationship Id="rId41" Type="http://schemas.openxmlformats.org/officeDocument/2006/relationships/hyperlink" Target="CHG400/" TargetMode="External"/><Relationship Id="rId62" Type="http://schemas.openxmlformats.org/officeDocument/2006/relationships/hyperlink" Target="RDP301/" TargetMode="External"/><Relationship Id="rId83" Type="http://schemas.openxmlformats.org/officeDocument/2006/relationships/hyperlink" Target="XTM100/" TargetMode="External"/><Relationship Id="rId179" Type="http://schemas.openxmlformats.org/officeDocument/2006/relationships/hyperlink" Target="https://github.com/Hungdt115/DataPlantList/tree/main/BOS100" TargetMode="External"/><Relationship Id="rId365" Type="http://schemas.openxmlformats.org/officeDocument/2006/relationships/hyperlink" Target="HCB900/" TargetMode="External"/><Relationship Id="rId386" Type="http://schemas.openxmlformats.org/officeDocument/2006/relationships/ctrlProp" Target="../ctrlProps/ctrlProp3.xml"/><Relationship Id="rId190" Type="http://schemas.openxmlformats.org/officeDocument/2006/relationships/hyperlink" Target="https://github.com/Hungdt115/DataPlantList/tree/main/MKY300" TargetMode="External"/><Relationship Id="rId204" Type="http://schemas.openxmlformats.org/officeDocument/2006/relationships/hyperlink" Target="https://github.com/Hungdt115/DataPlantList/tree/main/CIN301" TargetMode="External"/><Relationship Id="rId225" Type="http://schemas.openxmlformats.org/officeDocument/2006/relationships/hyperlink" Target="https://github.com/Hungdt115/DataPlantList/tree/main/TRW900" TargetMode="External"/><Relationship Id="rId246" Type="http://schemas.openxmlformats.org/officeDocument/2006/relationships/hyperlink" Target="https://github.com/Hungdt115/DataPlantList/tree/main/OSS100" TargetMode="External"/><Relationship Id="rId267" Type="http://schemas.openxmlformats.org/officeDocument/2006/relationships/hyperlink" Target="https://github.com/Hungdt115/DataPlantList/tree/main/VKL300" TargetMode="External"/><Relationship Id="rId288" Type="http://schemas.openxmlformats.org/officeDocument/2006/relationships/hyperlink" Target="https://github.com/Hungdt115/DataPlantList/tree/main/NTT900" TargetMode="External"/><Relationship Id="rId106" Type="http://schemas.openxmlformats.org/officeDocument/2006/relationships/hyperlink" Target="MCR100/" TargetMode="External"/><Relationship Id="rId127" Type="http://schemas.openxmlformats.org/officeDocument/2006/relationships/hyperlink" Target="HDV900/" TargetMode="External"/><Relationship Id="rId313" Type="http://schemas.openxmlformats.org/officeDocument/2006/relationships/hyperlink" Target="HGHCC900/" TargetMode="External"/><Relationship Id="rId10" Type="http://schemas.openxmlformats.org/officeDocument/2006/relationships/hyperlink" Target="HSO100/" TargetMode="External"/><Relationship Id="rId31" Type="http://schemas.openxmlformats.org/officeDocument/2006/relationships/hyperlink" Target="CSO100/" TargetMode="External"/><Relationship Id="rId52" Type="http://schemas.openxmlformats.org/officeDocument/2006/relationships/hyperlink" Target="MMN300/" TargetMode="External"/><Relationship Id="rId73" Type="http://schemas.openxmlformats.org/officeDocument/2006/relationships/hyperlink" Target="TDA100/" TargetMode="External"/><Relationship Id="rId94" Type="http://schemas.openxmlformats.org/officeDocument/2006/relationships/hyperlink" Target="XCN100/" TargetMode="External"/><Relationship Id="rId148" Type="http://schemas.openxmlformats.org/officeDocument/2006/relationships/hyperlink" Target="https://github.com/Hungdt115/DataPlantList/tree/main/CHA200" TargetMode="External"/><Relationship Id="rId169" Type="http://schemas.openxmlformats.org/officeDocument/2006/relationships/hyperlink" Target="https://github.com/Hungdt115/DataPlantList/tree/main/BDP200" TargetMode="External"/><Relationship Id="rId334" Type="http://schemas.openxmlformats.org/officeDocument/2006/relationships/hyperlink" Target="https://github.com/Hungdt115/DataPlantList/tree/main/CCH900" TargetMode="External"/><Relationship Id="rId355" Type="http://schemas.openxmlformats.org/officeDocument/2006/relationships/hyperlink" Target="BDL900/" TargetMode="External"/><Relationship Id="rId376" Type="http://schemas.openxmlformats.org/officeDocument/2006/relationships/hyperlink" Target="https://github.com/Hungdt115/DataPlantList/tree/main/NRCHEI" TargetMode="External"/><Relationship Id="rId4" Type="http://schemas.openxmlformats.org/officeDocument/2006/relationships/hyperlink" Target="CHA200/" TargetMode="External"/><Relationship Id="rId180" Type="http://schemas.openxmlformats.org/officeDocument/2006/relationships/hyperlink" Target="https://github.com/Hungdt115/DataPlantList/tree/main/ORG100" TargetMode="External"/><Relationship Id="rId215" Type="http://schemas.openxmlformats.org/officeDocument/2006/relationships/hyperlink" Target="https://github.com/Hungdt115/DataPlantList/tree/main/TA3100" TargetMode="External"/><Relationship Id="rId236" Type="http://schemas.openxmlformats.org/officeDocument/2006/relationships/hyperlink" Target="https://github.com/Hungdt115/DataPlantList/tree/main/XXS100" TargetMode="External"/><Relationship Id="rId257" Type="http://schemas.openxmlformats.org/officeDocument/2006/relationships/hyperlink" Target="https://github.com/Hungdt115/DataPlantList/tree/main/NTM201" TargetMode="External"/><Relationship Id="rId278" Type="http://schemas.openxmlformats.org/officeDocument/2006/relationships/hyperlink" Target="https://github.com/Hungdt115/DataPlantList/tree/main/BDK900" TargetMode="External"/><Relationship Id="rId303" Type="http://schemas.openxmlformats.org/officeDocument/2006/relationships/hyperlink" Target="NHS900/" TargetMode="External"/><Relationship Id="rId42" Type="http://schemas.openxmlformats.org/officeDocument/2006/relationships/hyperlink" Target="CHD900/" TargetMode="External"/><Relationship Id="rId84" Type="http://schemas.openxmlformats.org/officeDocument/2006/relationships/hyperlink" Target="XBC100/" TargetMode="External"/><Relationship Id="rId138" Type="http://schemas.openxmlformats.org/officeDocument/2006/relationships/hyperlink" Target="HPB900/" TargetMode="External"/><Relationship Id="rId345" Type="http://schemas.openxmlformats.org/officeDocument/2006/relationships/hyperlink" Target="ILNDT900/" TargetMode="External"/><Relationship Id="rId191" Type="http://schemas.openxmlformats.org/officeDocument/2006/relationships/hyperlink" Target="https://github.com/Hungdt115/DataPlantList/tree/main/MDT300" TargetMode="External"/><Relationship Id="rId205" Type="http://schemas.openxmlformats.org/officeDocument/2006/relationships/hyperlink" Target="https://github.com/Hungdt115/DataPlantList/tree/main/BLR301" TargetMode="External"/><Relationship Id="rId247" Type="http://schemas.openxmlformats.org/officeDocument/2006/relationships/hyperlink" Target="https://github.com/Hungdt115/DataPlantList/tree/main/MSL100" TargetMode="External"/><Relationship Id="rId107" Type="http://schemas.openxmlformats.org/officeDocument/2006/relationships/hyperlink" Target="MKG100/" TargetMode="External"/><Relationship Id="rId289" Type="http://schemas.openxmlformats.org/officeDocument/2006/relationships/hyperlink" Target="MXTG900/" TargetMode="External"/><Relationship Id="rId11" Type="http://schemas.openxmlformats.org/officeDocument/2006/relationships/hyperlink" Target="HQK200/" TargetMode="External"/><Relationship Id="rId53" Type="http://schemas.openxmlformats.org/officeDocument/2006/relationships/hyperlink" Target="MCT300/" TargetMode="External"/><Relationship Id="rId149" Type="http://schemas.openxmlformats.org/officeDocument/2006/relationships/hyperlink" Target="https://github.com/Hungdt115/DataPlantList/tree/main/CHA900" TargetMode="External"/><Relationship Id="rId314" Type="http://schemas.openxmlformats.org/officeDocument/2006/relationships/hyperlink" Target="https://github.com/Hungdt115/DataPlantList/tree/main/HGHCC900" TargetMode="External"/><Relationship Id="rId356" Type="http://schemas.openxmlformats.org/officeDocument/2006/relationships/hyperlink" Target="https://github.com/Hungdt115/DataPlantList/tree/main/BDL900" TargetMode="External"/><Relationship Id="rId95" Type="http://schemas.openxmlformats.org/officeDocument/2006/relationships/hyperlink" Target="XSY100/" TargetMode="External"/><Relationship Id="rId160" Type="http://schemas.openxmlformats.org/officeDocument/2006/relationships/hyperlink" Target="https://github.com/Hungdt115/DataPlantList/tree/main/ROS100" TargetMode="External"/><Relationship Id="rId216" Type="http://schemas.openxmlformats.org/officeDocument/2006/relationships/hyperlink" Target="https://github.com/Hungdt115/DataPlantList/tree/main/TTT100" TargetMode="External"/><Relationship Id="rId258" Type="http://schemas.openxmlformats.org/officeDocument/2006/relationships/hyperlink" Target="https://github.com/Hungdt115/DataPlantList/tree/main/TNH100" TargetMode="External"/><Relationship Id="rId22" Type="http://schemas.openxmlformats.org/officeDocument/2006/relationships/hyperlink" Target="BBJ200/" TargetMode="External"/><Relationship Id="rId64" Type="http://schemas.openxmlformats.org/officeDocument/2006/relationships/hyperlink" Target="MDD100/" TargetMode="External"/><Relationship Id="rId118" Type="http://schemas.openxmlformats.org/officeDocument/2006/relationships/hyperlink" Target="NAC400/" TargetMode="External"/><Relationship Id="rId325" Type="http://schemas.openxmlformats.org/officeDocument/2006/relationships/hyperlink" Target="TT10/" TargetMode="External"/><Relationship Id="rId367" Type="http://schemas.openxmlformats.org/officeDocument/2006/relationships/hyperlink" Target="CCSP20/" TargetMode="External"/><Relationship Id="rId171" Type="http://schemas.openxmlformats.org/officeDocument/2006/relationships/hyperlink" Target="https://github.com/Hungdt115/DataPlantList/tree/main/CHM900" TargetMode="External"/><Relationship Id="rId227" Type="http://schemas.openxmlformats.org/officeDocument/2006/relationships/hyperlink" Target="https://github.com/Hungdt115/DataPlantList/tree/main/XTM100" TargetMode="External"/><Relationship Id="rId269" Type="http://schemas.openxmlformats.org/officeDocument/2006/relationships/hyperlink" Target="https://github.com/Hungdt115/DataPlantList/tree/main/HHS900" TargetMode="External"/><Relationship Id="rId33" Type="http://schemas.openxmlformats.org/officeDocument/2006/relationships/hyperlink" Target="CHY100/" TargetMode="External"/><Relationship Id="rId129" Type="http://schemas.openxmlformats.org/officeDocument/2006/relationships/hyperlink" Target="LUV900/" TargetMode="External"/><Relationship Id="rId280" Type="http://schemas.openxmlformats.org/officeDocument/2006/relationships/hyperlink" Target="https://github.com/Hungdt115/DataPlantList/tree/main/HBD900" TargetMode="External"/><Relationship Id="rId336" Type="http://schemas.openxmlformats.org/officeDocument/2006/relationships/hyperlink" Target="https://github.com/Hungdt115/DataPlantList/tree/main/CPHSX900" TargetMode="External"/><Relationship Id="rId75" Type="http://schemas.openxmlformats.org/officeDocument/2006/relationships/hyperlink" Target="TAA100/" TargetMode="External"/><Relationship Id="rId140" Type="http://schemas.openxmlformats.org/officeDocument/2006/relationships/hyperlink" Target="HPT900/" TargetMode="External"/><Relationship Id="rId182" Type="http://schemas.openxmlformats.org/officeDocument/2006/relationships/hyperlink" Target="https://github.com/Hungdt115/DataPlantList/tree/main/BRS100" TargetMode="External"/><Relationship Id="rId378" Type="http://schemas.openxmlformats.org/officeDocument/2006/relationships/hyperlink" Target="https://github.com/Hungdt115/DataPlantList/tree/main/NRCHEI900" TargetMode="External"/><Relationship Id="rId6" Type="http://schemas.openxmlformats.org/officeDocument/2006/relationships/hyperlink" Target="WHI900/" TargetMode="External"/><Relationship Id="rId238" Type="http://schemas.openxmlformats.org/officeDocument/2006/relationships/hyperlink" Target="https://github.com/Hungdt115/DataPlantList/tree/main/XCN100" TargetMode="External"/><Relationship Id="rId291" Type="http://schemas.openxmlformats.org/officeDocument/2006/relationships/hyperlink" Target="MXTG9001/" TargetMode="External"/><Relationship Id="rId305" Type="http://schemas.openxmlformats.org/officeDocument/2006/relationships/hyperlink" Target="HHCV900/" TargetMode="External"/><Relationship Id="rId347" Type="http://schemas.openxmlformats.org/officeDocument/2006/relationships/hyperlink" Target="AP2NDT900/" TargetMode="External"/><Relationship Id="rId44" Type="http://schemas.openxmlformats.org/officeDocument/2006/relationships/hyperlink" Target="MDA300/" TargetMode="External"/><Relationship Id="rId86" Type="http://schemas.openxmlformats.org/officeDocument/2006/relationships/hyperlink" Target="XKF100/" TargetMode="External"/><Relationship Id="rId151" Type="http://schemas.openxmlformats.org/officeDocument/2006/relationships/hyperlink" Target="https://github.com/Hungdt115/DataPlantList/tree/main/SAN200" TargetMode="External"/><Relationship Id="rId193" Type="http://schemas.openxmlformats.org/officeDocument/2006/relationships/hyperlink" Target="https://github.com/Hungdt115/DataPlantList/tree/main/MKC300" TargetMode="External"/><Relationship Id="rId207" Type="http://schemas.openxmlformats.org/officeDocument/2006/relationships/hyperlink" Target="https://github.com/Hungdt115/DataPlantList/tree/main/RDH301" TargetMode="External"/><Relationship Id="rId249" Type="http://schemas.openxmlformats.org/officeDocument/2006/relationships/hyperlink" Target="https://github.com/Hungdt115/DataPlantList/tree/main/MCH100" TargetMode="External"/><Relationship Id="rId13" Type="http://schemas.openxmlformats.org/officeDocument/2006/relationships/hyperlink" Target="TBK200/" TargetMode="External"/><Relationship Id="rId109" Type="http://schemas.openxmlformats.org/officeDocument/2006/relationships/hyperlink" Target="MKE300/" TargetMode="External"/><Relationship Id="rId260" Type="http://schemas.openxmlformats.org/officeDocument/2006/relationships/hyperlink" Target="https://github.com/Hungdt115/DataPlantList/tree/main/MCL100" TargetMode="External"/><Relationship Id="rId316" Type="http://schemas.openxmlformats.org/officeDocument/2006/relationships/hyperlink" Target="https://github.com/Hungdt115/DataPlantList/tree/main/DSTSNSM" TargetMode="External"/><Relationship Id="rId55" Type="http://schemas.openxmlformats.org/officeDocument/2006/relationships/hyperlink" Target="MMD300/" TargetMode="External"/><Relationship Id="rId97" Type="http://schemas.openxmlformats.org/officeDocument/2006/relationships/hyperlink" Target="ODA100/" TargetMode="External"/><Relationship Id="rId120" Type="http://schemas.openxmlformats.org/officeDocument/2006/relationships/hyperlink" Target="NAG100/" TargetMode="External"/><Relationship Id="rId358" Type="http://schemas.openxmlformats.org/officeDocument/2006/relationships/hyperlink" Target="https://github.com/Hungdt115/DataPlantList/tree/main/BP301" TargetMode="External"/><Relationship Id="rId162" Type="http://schemas.openxmlformats.org/officeDocument/2006/relationships/hyperlink" Target="https://github.com/Hungdt115/DataPlantList/tree/main/MCV100" TargetMode="External"/><Relationship Id="rId218" Type="http://schemas.openxmlformats.org/officeDocument/2006/relationships/hyperlink" Target="https://github.com/Hungdt115/DataPlantList/tree/main/TSI300" TargetMode="External"/><Relationship Id="rId271" Type="http://schemas.openxmlformats.org/officeDocument/2006/relationships/hyperlink" Target="https://github.com/Hungdt115/DataPlantList/tree/main/HDV900" TargetMode="External"/><Relationship Id="rId24" Type="http://schemas.openxmlformats.org/officeDocument/2006/relationships/hyperlink" Target="LAM200/" TargetMode="External"/><Relationship Id="rId66" Type="http://schemas.openxmlformats.org/officeDocument/2006/relationships/hyperlink" Target="MDJ100/" TargetMode="External"/><Relationship Id="rId131" Type="http://schemas.openxmlformats.org/officeDocument/2006/relationships/hyperlink" Target="HDC900/" TargetMode="External"/><Relationship Id="rId327" Type="http://schemas.openxmlformats.org/officeDocument/2006/relationships/hyperlink" Target="TT20/" TargetMode="External"/><Relationship Id="rId369" Type="http://schemas.openxmlformats.org/officeDocument/2006/relationships/hyperlink" Target="CCSP30/" TargetMode="External"/><Relationship Id="rId173" Type="http://schemas.openxmlformats.org/officeDocument/2006/relationships/hyperlink" Target="https://github.com/Hungdt115/DataPlantList/tree/main/CMG900" TargetMode="External"/><Relationship Id="rId229" Type="http://schemas.openxmlformats.org/officeDocument/2006/relationships/hyperlink" Target="https://github.com/Hungdt115/DataPlantList/tree/main/XKP100" TargetMode="External"/><Relationship Id="rId380" Type="http://schemas.openxmlformats.org/officeDocument/2006/relationships/hyperlink" Target="https://github.com/Hungdt115/DataPlantList/tree/main/CNW900" TargetMode="External"/><Relationship Id="rId240" Type="http://schemas.openxmlformats.org/officeDocument/2006/relationships/hyperlink" Target="https://github.com/Hungdt115/DataPlantList/tree/main/XTS100" TargetMode="External"/><Relationship Id="rId35" Type="http://schemas.openxmlformats.org/officeDocument/2006/relationships/hyperlink" Target="BOS100/" TargetMode="External"/><Relationship Id="rId77" Type="http://schemas.openxmlformats.org/officeDocument/2006/relationships/hyperlink" Target="TA6100/" TargetMode="External"/><Relationship Id="rId100" Type="http://schemas.openxmlformats.org/officeDocument/2006/relationships/hyperlink" Target="OBR900/" TargetMode="External"/><Relationship Id="rId282" Type="http://schemas.openxmlformats.org/officeDocument/2006/relationships/hyperlink" Target="https://github.com/Hungdt115/DataPlantList/tree/main/HPB900" TargetMode="External"/><Relationship Id="rId338" Type="http://schemas.openxmlformats.org/officeDocument/2006/relationships/hyperlink" Target="https://github.com/Hungdt115/DataPlantList/tree/main/ODKC900" TargetMode="External"/><Relationship Id="rId8" Type="http://schemas.openxmlformats.org/officeDocument/2006/relationships/hyperlink" Target="CHU200/" TargetMode="External"/><Relationship Id="rId142" Type="http://schemas.openxmlformats.org/officeDocument/2006/relationships/hyperlink" Target="NTV900/" TargetMode="External"/><Relationship Id="rId184" Type="http://schemas.openxmlformats.org/officeDocument/2006/relationships/hyperlink" Target="https://github.com/Hungdt115/DataPlantList/tree/main/CHV900" TargetMode="External"/><Relationship Id="rId251" Type="http://schemas.openxmlformats.org/officeDocument/2006/relationships/hyperlink" Target="https://github.com/Hungdt115/DataPlantList/tree/main/MKG100" TargetMode="External"/><Relationship Id="rId46" Type="http://schemas.openxmlformats.org/officeDocument/2006/relationships/hyperlink" Target="MKY300/" TargetMode="External"/><Relationship Id="rId293" Type="http://schemas.openxmlformats.org/officeDocument/2006/relationships/hyperlink" Target="SH900/" TargetMode="External"/><Relationship Id="rId307" Type="http://schemas.openxmlformats.org/officeDocument/2006/relationships/hyperlink" Target="HHT900/" TargetMode="External"/><Relationship Id="rId349" Type="http://schemas.openxmlformats.org/officeDocument/2006/relationships/hyperlink" Target="MHR900/" TargetMode="External"/><Relationship Id="rId88" Type="http://schemas.openxmlformats.org/officeDocument/2006/relationships/hyperlink" Target="XTN100/" TargetMode="External"/><Relationship Id="rId111" Type="http://schemas.openxmlformats.org/officeDocument/2006/relationships/hyperlink" Target="NXA900/" TargetMode="External"/><Relationship Id="rId153" Type="http://schemas.openxmlformats.org/officeDocument/2006/relationships/hyperlink" Target="https://github.com/Hungdt115/DataPlantList/tree/main/PUP200" TargetMode="External"/><Relationship Id="rId195" Type="http://schemas.openxmlformats.org/officeDocument/2006/relationships/hyperlink" Target="https://github.com/Hungdt115/DataPlantList/tree/main/MGG300" TargetMode="External"/><Relationship Id="rId209" Type="http://schemas.openxmlformats.org/officeDocument/2006/relationships/hyperlink" Target="https://github.com/Hungdt115/DataPlantList/tree/main/MDT100" TargetMode="External"/><Relationship Id="rId360" Type="http://schemas.openxmlformats.org/officeDocument/2006/relationships/hyperlink" Target="https://github.com/Hungdt115/DataPlantList/tree/main/XRI100" TargetMode="External"/><Relationship Id="rId220" Type="http://schemas.openxmlformats.org/officeDocument/2006/relationships/hyperlink" Target="https://github.com/Hungdt115/DataPlantList/tree/main/TMC100" TargetMode="External"/><Relationship Id="rId15" Type="http://schemas.openxmlformats.org/officeDocument/2006/relationships/hyperlink" Target="THC200/" TargetMode="External"/><Relationship Id="rId57" Type="http://schemas.openxmlformats.org/officeDocument/2006/relationships/hyperlink" Target="MGL300/" TargetMode="External"/><Relationship Id="rId262" Type="http://schemas.openxmlformats.org/officeDocument/2006/relationships/hyperlink" Target="https://github.com/Hungdt115/DataPlantList/tree/main/NAC400" TargetMode="External"/><Relationship Id="rId318" Type="http://schemas.openxmlformats.org/officeDocument/2006/relationships/hyperlink" Target="https://github.com/Hungdt115/DataPlantList/tree/main/DSTSNSXL" TargetMode="External"/><Relationship Id="rId99" Type="http://schemas.openxmlformats.org/officeDocument/2006/relationships/hyperlink" Target="KDK100/" TargetMode="External"/><Relationship Id="rId122" Type="http://schemas.openxmlformats.org/officeDocument/2006/relationships/hyperlink" Target="VKH300/" TargetMode="External"/><Relationship Id="rId164" Type="http://schemas.openxmlformats.org/officeDocument/2006/relationships/hyperlink" Target="https://github.com/Hungdt115/DataPlantList/tree/main/KNG100" TargetMode="External"/><Relationship Id="rId371" Type="http://schemas.openxmlformats.org/officeDocument/2006/relationships/hyperlink" Target="DSSN900/" TargetMode="External"/><Relationship Id="rId26" Type="http://schemas.openxmlformats.org/officeDocument/2006/relationships/hyperlink" Target="CKD300/" TargetMode="External"/><Relationship Id="rId231" Type="http://schemas.openxmlformats.org/officeDocument/2006/relationships/hyperlink" Target="https://github.com/Hungdt115/DataPlantList/tree/main/XMH100" TargetMode="External"/><Relationship Id="rId273" Type="http://schemas.openxmlformats.org/officeDocument/2006/relationships/hyperlink" Target="https://github.com/Hungdt115/DataPlantList/tree/main/LUV900" TargetMode="External"/><Relationship Id="rId329" Type="http://schemas.openxmlformats.org/officeDocument/2006/relationships/hyperlink" Target="HND900/"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DBD31-6458-483B-9411-85B5A94EBD4B}">
  <sheetPr codeName="Sheet3"/>
  <dimension ref="B1:G17"/>
  <sheetViews>
    <sheetView showGridLines="0" topLeftCell="A9" workbookViewId="0">
      <selection activeCell="C32" sqref="C32"/>
    </sheetView>
  </sheetViews>
  <sheetFormatPr defaultRowHeight="12.5"/>
  <cols>
    <col min="2" max="2" width="4.81640625" customWidth="1"/>
    <col min="3" max="3" width="28.6328125" customWidth="1"/>
    <col min="4" max="4" width="18.81640625" customWidth="1"/>
    <col min="6" max="6" width="3.81640625" customWidth="1"/>
  </cols>
  <sheetData>
    <row r="1" spans="2:7" ht="24" customHeight="1">
      <c r="B1" s="16" t="s">
        <v>466</v>
      </c>
      <c r="C1" s="16"/>
      <c r="D1" s="16"/>
    </row>
    <row r="2" spans="2:7" ht="7.75" customHeight="1">
      <c r="B2" s="16"/>
      <c r="C2" s="16"/>
      <c r="D2" s="16"/>
    </row>
    <row r="3" spans="2:7" ht="13">
      <c r="C3" s="18" t="s">
        <v>467</v>
      </c>
    </row>
    <row r="5" spans="2:7" ht="13">
      <c r="C5" s="18" t="s">
        <v>468</v>
      </c>
    </row>
    <row r="6" spans="2:7" ht="6" customHeight="1"/>
    <row r="7" spans="2:7" ht="18" customHeight="1">
      <c r="C7" s="14" t="s">
        <v>261</v>
      </c>
      <c r="D7" s="15" t="s">
        <v>262</v>
      </c>
      <c r="F7" s="6" t="s">
        <v>469</v>
      </c>
    </row>
    <row r="8" spans="2:7">
      <c r="C8" s="13" t="s">
        <v>263</v>
      </c>
      <c r="D8" s="13">
        <v>100</v>
      </c>
      <c r="F8" s="17" t="s">
        <v>470</v>
      </c>
    </row>
    <row r="9" spans="2:7">
      <c r="C9" s="13" t="s">
        <v>264</v>
      </c>
      <c r="D9" s="13">
        <v>101</v>
      </c>
      <c r="G9" t="s">
        <v>471</v>
      </c>
    </row>
    <row r="10" spans="2:7">
      <c r="C10" s="13" t="s">
        <v>265</v>
      </c>
      <c r="D10" s="13">
        <v>102</v>
      </c>
      <c r="G10" t="s">
        <v>472</v>
      </c>
    </row>
    <row r="11" spans="2:7">
      <c r="C11" s="13" t="s">
        <v>266</v>
      </c>
      <c r="D11" s="13">
        <v>300</v>
      </c>
      <c r="F11" s="17" t="s">
        <v>474</v>
      </c>
    </row>
    <row r="12" spans="2:7">
      <c r="C12" s="13" t="s">
        <v>267</v>
      </c>
      <c r="D12" s="13">
        <v>301</v>
      </c>
      <c r="G12" t="s">
        <v>473</v>
      </c>
    </row>
    <row r="13" spans="2:7">
      <c r="C13" s="13" t="s">
        <v>268</v>
      </c>
      <c r="D13" s="13">
        <v>200</v>
      </c>
      <c r="G13" t="s">
        <v>472</v>
      </c>
    </row>
    <row r="14" spans="2:7">
      <c r="C14" s="13" t="s">
        <v>269</v>
      </c>
      <c r="D14" s="13">
        <v>201</v>
      </c>
    </row>
    <row r="15" spans="2:7">
      <c r="C15" s="13" t="s">
        <v>270</v>
      </c>
      <c r="D15" s="13">
        <v>400</v>
      </c>
    </row>
    <row r="16" spans="2:7">
      <c r="C16" s="13" t="s">
        <v>271</v>
      </c>
      <c r="D16" s="13">
        <v>500</v>
      </c>
    </row>
    <row r="17" spans="3:4">
      <c r="C17" s="13" t="s">
        <v>272</v>
      </c>
      <c r="D17" s="13">
        <v>900</v>
      </c>
    </row>
  </sheetData>
  <conditionalFormatting sqref="C8:D1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BF067-1A82-4F39-9D4D-DCC7CB7D31DE}">
  <sheetPr codeName="Sheet1">
    <outlinePr summaryBelow="0" summaryRight="0"/>
  </sheetPr>
  <dimension ref="A1:K213"/>
  <sheetViews>
    <sheetView topLeftCell="A202" zoomScale="85" zoomScaleNormal="85" workbookViewId="0">
      <selection activeCell="C210" sqref="C210"/>
    </sheetView>
  </sheetViews>
  <sheetFormatPr defaultColWidth="12.6328125" defaultRowHeight="15.75" customHeight="1"/>
  <cols>
    <col min="1" max="1" width="8.81640625" style="5" customWidth="1"/>
    <col min="2" max="2" width="38.08984375" style="5" customWidth="1"/>
    <col min="3" max="3" width="12.6328125" style="29"/>
    <col min="4" max="4" width="22.6328125" style="5" customWidth="1"/>
    <col min="5" max="6" width="12.6328125" style="5"/>
    <col min="7" max="7" width="39.90625" style="5" customWidth="1"/>
    <col min="8" max="8" width="17.6328125" style="29" customWidth="1"/>
    <col min="9" max="9" width="28.54296875" style="101" customWidth="1"/>
    <col min="10" max="16384" width="12.6328125" style="5"/>
  </cols>
  <sheetData>
    <row r="1" spans="1:10" ht="15.75" customHeight="1">
      <c r="A1" s="73"/>
      <c r="B1" s="151" t="s">
        <v>145</v>
      </c>
      <c r="C1" s="151"/>
      <c r="D1" s="151"/>
      <c r="G1" s="152" t="s">
        <v>146</v>
      </c>
      <c r="H1" s="152"/>
      <c r="I1" s="152"/>
      <c r="J1" s="30"/>
    </row>
    <row r="2" spans="1:10" ht="13">
      <c r="A2" s="73" t="s">
        <v>418</v>
      </c>
      <c r="B2" s="74" t="s">
        <v>147</v>
      </c>
      <c r="C2" s="75" t="s">
        <v>148</v>
      </c>
      <c r="D2" s="74" t="s">
        <v>149</v>
      </c>
      <c r="G2" s="93" t="s">
        <v>147</v>
      </c>
      <c r="H2" s="94" t="s">
        <v>148</v>
      </c>
      <c r="I2" s="97" t="s">
        <v>149</v>
      </c>
      <c r="J2" s="30"/>
    </row>
    <row r="3" spans="1:10" ht="13.5" thickBot="1">
      <c r="A3" s="73" t="s">
        <v>413</v>
      </c>
      <c r="B3" s="76" t="s">
        <v>150</v>
      </c>
      <c r="C3" s="77"/>
      <c r="D3" s="76"/>
      <c r="G3" s="95" t="s">
        <v>150</v>
      </c>
      <c r="H3" s="96"/>
      <c r="I3" s="98"/>
      <c r="J3" s="30"/>
    </row>
    <row r="4" spans="1:10" ht="13.5" thickBot="1">
      <c r="A4" s="73" t="s">
        <v>273</v>
      </c>
      <c r="B4" s="76" t="s">
        <v>18</v>
      </c>
      <c r="C4" s="77">
        <v>679</v>
      </c>
      <c r="D4" s="76" t="s">
        <v>1</v>
      </c>
      <c r="G4" s="123" t="s">
        <v>18</v>
      </c>
      <c r="H4" s="124">
        <v>679</v>
      </c>
      <c r="I4" s="123" t="s">
        <v>1</v>
      </c>
      <c r="J4" s="123" t="s">
        <v>779</v>
      </c>
    </row>
    <row r="5" spans="1:10" ht="13.5" thickBot="1">
      <c r="A5" s="73" t="s">
        <v>274</v>
      </c>
      <c r="B5" s="78" t="s">
        <v>19</v>
      </c>
      <c r="C5" s="77">
        <v>379</v>
      </c>
      <c r="D5" s="76" t="s">
        <v>2</v>
      </c>
      <c r="G5" s="123" t="s">
        <v>19</v>
      </c>
      <c r="H5" s="124">
        <v>379</v>
      </c>
      <c r="I5" s="123" t="s">
        <v>2</v>
      </c>
      <c r="J5" s="123" t="s">
        <v>779</v>
      </c>
    </row>
    <row r="6" spans="1:10" ht="13.5" thickBot="1">
      <c r="A6" s="73" t="s">
        <v>275</v>
      </c>
      <c r="B6" s="78" t="s">
        <v>20</v>
      </c>
      <c r="C6" s="77">
        <v>530</v>
      </c>
      <c r="D6" s="76" t="s">
        <v>2</v>
      </c>
      <c r="G6" s="123" t="s">
        <v>20</v>
      </c>
      <c r="H6" s="124">
        <v>530</v>
      </c>
      <c r="I6" s="123" t="s">
        <v>2</v>
      </c>
      <c r="J6" s="123"/>
    </row>
    <row r="7" spans="1:10" ht="13.5" thickBot="1">
      <c r="A7" s="73" t="s">
        <v>276</v>
      </c>
      <c r="B7" s="76" t="s">
        <v>21</v>
      </c>
      <c r="C7" s="77">
        <v>250</v>
      </c>
      <c r="D7" s="76" t="s">
        <v>2</v>
      </c>
      <c r="G7" s="123" t="s">
        <v>21</v>
      </c>
      <c r="H7" s="124">
        <v>250</v>
      </c>
      <c r="I7" s="123" t="s">
        <v>2</v>
      </c>
      <c r="J7" s="123" t="s">
        <v>779</v>
      </c>
    </row>
    <row r="8" spans="1:10" ht="13.5" thickBot="1">
      <c r="A8" s="73" t="s">
        <v>277</v>
      </c>
      <c r="B8" s="76" t="s">
        <v>22</v>
      </c>
      <c r="C8" s="124" t="s">
        <v>151</v>
      </c>
      <c r="D8" s="76"/>
      <c r="G8" s="123" t="s">
        <v>22</v>
      </c>
      <c r="H8" s="124" t="s">
        <v>151</v>
      </c>
      <c r="I8" s="123"/>
      <c r="J8" s="123"/>
    </row>
    <row r="9" spans="1:10" ht="13.5" thickBot="1">
      <c r="A9" s="73" t="s">
        <v>278</v>
      </c>
      <c r="B9" s="76" t="s">
        <v>152</v>
      </c>
      <c r="C9" s="124" t="s">
        <v>151</v>
      </c>
      <c r="D9" s="76"/>
      <c r="G9" s="123" t="s">
        <v>23</v>
      </c>
      <c r="H9" s="124" t="s">
        <v>151</v>
      </c>
      <c r="I9" s="123"/>
      <c r="J9" s="123"/>
    </row>
    <row r="10" spans="1:10" ht="13.5" thickBot="1">
      <c r="A10" s="73" t="s">
        <v>279</v>
      </c>
      <c r="B10" s="76" t="s">
        <v>3</v>
      </c>
      <c r="C10" s="77">
        <v>459</v>
      </c>
      <c r="D10" s="76" t="s">
        <v>2</v>
      </c>
      <c r="G10" s="123" t="s">
        <v>3</v>
      </c>
      <c r="H10" s="124">
        <v>459</v>
      </c>
      <c r="I10" s="123" t="s">
        <v>2</v>
      </c>
      <c r="J10" s="123"/>
    </row>
    <row r="11" spans="1:10" ht="13.5" thickBot="1">
      <c r="A11" s="73" t="s">
        <v>280</v>
      </c>
      <c r="B11" s="76" t="s">
        <v>4</v>
      </c>
      <c r="C11" s="77">
        <v>550</v>
      </c>
      <c r="D11" s="76" t="s">
        <v>2</v>
      </c>
      <c r="G11" s="123" t="s">
        <v>4</v>
      </c>
      <c r="H11" s="124">
        <v>550</v>
      </c>
      <c r="I11" s="123" t="s">
        <v>2</v>
      </c>
      <c r="J11" s="123" t="s">
        <v>779</v>
      </c>
    </row>
    <row r="12" spans="1:10" ht="13.5" thickBot="1">
      <c r="A12" s="73" t="s">
        <v>281</v>
      </c>
      <c r="B12" s="76" t="s">
        <v>5</v>
      </c>
      <c r="C12" s="77">
        <v>480</v>
      </c>
      <c r="D12" s="76" t="s">
        <v>2</v>
      </c>
      <c r="G12" s="123" t="s">
        <v>5</v>
      </c>
      <c r="H12" s="124">
        <v>480</v>
      </c>
      <c r="I12" s="123" t="s">
        <v>2</v>
      </c>
      <c r="J12" s="123" t="s">
        <v>779</v>
      </c>
    </row>
    <row r="13" spans="1:10" ht="13.5" thickBot="1">
      <c r="A13" s="73" t="s">
        <v>282</v>
      </c>
      <c r="B13" s="76" t="s">
        <v>153</v>
      </c>
      <c r="C13" s="77">
        <v>390</v>
      </c>
      <c r="D13" s="76" t="s">
        <v>1</v>
      </c>
      <c r="G13" s="123" t="s">
        <v>24</v>
      </c>
      <c r="H13" s="124">
        <v>390</v>
      </c>
      <c r="I13" s="123" t="s">
        <v>1</v>
      </c>
      <c r="J13" s="123" t="s">
        <v>779</v>
      </c>
    </row>
    <row r="14" spans="1:10" ht="13.5" thickBot="1">
      <c r="A14" s="73" t="s">
        <v>283</v>
      </c>
      <c r="B14" s="76" t="s">
        <v>25</v>
      </c>
      <c r="C14" s="77">
        <v>249</v>
      </c>
      <c r="D14" s="76" t="s">
        <v>2</v>
      </c>
      <c r="G14" s="123" t="s">
        <v>25</v>
      </c>
      <c r="H14" s="124">
        <v>249</v>
      </c>
      <c r="I14" s="123" t="s">
        <v>2</v>
      </c>
      <c r="J14" s="123"/>
    </row>
    <row r="15" spans="1:10" ht="13.5" thickBot="1">
      <c r="A15" s="73" t="s">
        <v>435</v>
      </c>
      <c r="B15" s="76" t="s">
        <v>26</v>
      </c>
      <c r="C15" s="77">
        <v>780</v>
      </c>
      <c r="D15" s="76" t="s">
        <v>2</v>
      </c>
      <c r="G15" s="123" t="s">
        <v>26</v>
      </c>
      <c r="H15" s="124">
        <v>780</v>
      </c>
      <c r="I15" s="123" t="s">
        <v>2</v>
      </c>
      <c r="J15" s="123" t="s">
        <v>779</v>
      </c>
    </row>
    <row r="16" spans="1:10" ht="13.5" thickBot="1">
      <c r="A16" s="73" t="s">
        <v>436</v>
      </c>
      <c r="B16" s="76" t="s">
        <v>27</v>
      </c>
      <c r="C16" s="77">
        <v>380</v>
      </c>
      <c r="D16" s="76" t="s">
        <v>2</v>
      </c>
      <c r="G16" s="123" t="s">
        <v>27</v>
      </c>
      <c r="H16" s="124">
        <v>380</v>
      </c>
      <c r="I16" s="123" t="s">
        <v>2</v>
      </c>
      <c r="J16" s="123" t="s">
        <v>779</v>
      </c>
    </row>
    <row r="17" spans="1:11" ht="13.5" thickBot="1">
      <c r="A17" s="73" t="s">
        <v>284</v>
      </c>
      <c r="B17" s="76" t="s">
        <v>28</v>
      </c>
      <c r="C17" s="77" t="s">
        <v>151</v>
      </c>
      <c r="D17" s="76"/>
      <c r="G17" s="123" t="s">
        <v>28</v>
      </c>
      <c r="H17" s="124" t="s">
        <v>151</v>
      </c>
      <c r="I17" s="123"/>
      <c r="J17" s="123"/>
    </row>
    <row r="18" spans="1:11" ht="13.5" thickBot="1">
      <c r="A18" s="73" t="s">
        <v>285</v>
      </c>
      <c r="B18" s="76" t="s">
        <v>29</v>
      </c>
      <c r="C18" s="77">
        <v>279</v>
      </c>
      <c r="D18" s="76" t="s">
        <v>2</v>
      </c>
      <c r="G18" s="123" t="s">
        <v>29</v>
      </c>
      <c r="H18" s="124">
        <v>279</v>
      </c>
      <c r="I18" s="123" t="s">
        <v>2</v>
      </c>
      <c r="J18" s="123" t="s">
        <v>779</v>
      </c>
    </row>
    <row r="19" spans="1:11" ht="13.5" thickBot="1">
      <c r="A19" s="73" t="s">
        <v>286</v>
      </c>
      <c r="B19" s="76" t="s">
        <v>0</v>
      </c>
      <c r="C19" s="77">
        <v>570</v>
      </c>
      <c r="D19" s="76" t="s">
        <v>1</v>
      </c>
      <c r="G19" s="123" t="s">
        <v>0</v>
      </c>
      <c r="H19" s="124">
        <v>570</v>
      </c>
      <c r="I19" s="123" t="s">
        <v>1</v>
      </c>
      <c r="J19" s="123" t="s">
        <v>779</v>
      </c>
    </row>
    <row r="20" spans="1:11" ht="13.5" thickBot="1">
      <c r="A20" s="73" t="s">
        <v>287</v>
      </c>
      <c r="B20" s="76" t="s">
        <v>30</v>
      </c>
      <c r="C20" s="77">
        <v>299</v>
      </c>
      <c r="D20" s="76" t="s">
        <v>2</v>
      </c>
      <c r="G20" s="123" t="s">
        <v>30</v>
      </c>
      <c r="H20" s="124">
        <v>299</v>
      </c>
      <c r="I20" s="123" t="s">
        <v>2</v>
      </c>
      <c r="J20" s="123" t="s">
        <v>779</v>
      </c>
    </row>
    <row r="21" spans="1:11" ht="13.5" thickBot="1">
      <c r="A21" s="73" t="s">
        <v>288</v>
      </c>
      <c r="B21" s="76" t="s">
        <v>31</v>
      </c>
      <c r="C21" s="77">
        <v>650</v>
      </c>
      <c r="D21" s="76" t="s">
        <v>1</v>
      </c>
      <c r="G21" s="123" t="s">
        <v>31</v>
      </c>
      <c r="H21" s="124">
        <v>650</v>
      </c>
      <c r="I21" s="123" t="s">
        <v>1</v>
      </c>
      <c r="J21" s="123"/>
    </row>
    <row r="22" spans="1:11" ht="13.5" thickBot="1">
      <c r="A22" s="73" t="s">
        <v>289</v>
      </c>
      <c r="B22" s="76" t="s">
        <v>32</v>
      </c>
      <c r="C22" s="77">
        <v>390</v>
      </c>
      <c r="D22" s="76" t="s">
        <v>2</v>
      </c>
      <c r="G22" s="123" t="s">
        <v>32</v>
      </c>
      <c r="H22" s="124">
        <v>390</v>
      </c>
      <c r="I22" s="123" t="s">
        <v>2</v>
      </c>
      <c r="J22" s="123" t="s">
        <v>779</v>
      </c>
    </row>
    <row r="23" spans="1:11" ht="13.5" thickBot="1">
      <c r="A23" s="73" t="s">
        <v>290</v>
      </c>
      <c r="B23" s="76" t="s">
        <v>33</v>
      </c>
      <c r="C23" s="77">
        <v>350</v>
      </c>
      <c r="D23" s="76" t="s">
        <v>1</v>
      </c>
      <c r="G23" s="123" t="s">
        <v>33</v>
      </c>
      <c r="H23" s="124">
        <v>350</v>
      </c>
      <c r="I23" s="123" t="s">
        <v>1</v>
      </c>
      <c r="J23" s="123"/>
    </row>
    <row r="24" spans="1:11" ht="13.5" thickBot="1">
      <c r="A24" s="73" t="s">
        <v>291</v>
      </c>
      <c r="B24" s="76" t="s">
        <v>34</v>
      </c>
      <c r="C24" s="77">
        <v>350</v>
      </c>
      <c r="D24" s="76" t="s">
        <v>2</v>
      </c>
      <c r="G24" s="123" t="s">
        <v>34</v>
      </c>
      <c r="H24" s="124">
        <v>350</v>
      </c>
      <c r="I24" s="123" t="s">
        <v>2</v>
      </c>
      <c r="J24" s="123" t="s">
        <v>779</v>
      </c>
    </row>
    <row r="25" spans="1:11" ht="13.5" thickBot="1">
      <c r="A25" s="73" t="s">
        <v>292</v>
      </c>
      <c r="B25" s="76" t="s">
        <v>35</v>
      </c>
      <c r="C25" s="77">
        <v>900</v>
      </c>
      <c r="D25" s="76" t="s">
        <v>2</v>
      </c>
      <c r="G25" s="123" t="s">
        <v>35</v>
      </c>
      <c r="H25" s="124">
        <v>900</v>
      </c>
      <c r="I25" s="123" t="s">
        <v>2</v>
      </c>
      <c r="J25" s="123" t="s">
        <v>779</v>
      </c>
    </row>
    <row r="26" spans="1:11" ht="13.5" thickBot="1">
      <c r="A26" s="73" t="s">
        <v>293</v>
      </c>
      <c r="B26" s="76" t="s">
        <v>36</v>
      </c>
      <c r="C26" s="77">
        <v>420</v>
      </c>
      <c r="D26" s="76" t="s">
        <v>154</v>
      </c>
      <c r="G26" s="123" t="s">
        <v>36</v>
      </c>
      <c r="H26" s="124">
        <v>450</v>
      </c>
      <c r="I26" s="123" t="s">
        <v>154</v>
      </c>
      <c r="J26" s="123"/>
    </row>
    <row r="27" spans="1:11" ht="13.5" thickBot="1">
      <c r="A27" s="73" t="s">
        <v>294</v>
      </c>
      <c r="B27" s="76" t="s">
        <v>6</v>
      </c>
      <c r="C27" s="77">
        <v>900</v>
      </c>
      <c r="D27" s="76" t="s">
        <v>2</v>
      </c>
      <c r="G27" s="123" t="s">
        <v>6</v>
      </c>
      <c r="H27" s="124">
        <v>900</v>
      </c>
      <c r="I27" s="123" t="s">
        <v>2</v>
      </c>
      <c r="J27" s="123"/>
    </row>
    <row r="28" spans="1:11" ht="13.5" thickBot="1">
      <c r="A28" s="73" t="s">
        <v>1152</v>
      </c>
      <c r="B28" s="123" t="s">
        <v>1148</v>
      </c>
      <c r="C28" s="124">
        <v>350</v>
      </c>
      <c r="D28" s="76"/>
      <c r="G28" s="125" t="s">
        <v>37</v>
      </c>
      <c r="H28" s="124">
        <v>299</v>
      </c>
      <c r="I28" s="123" t="s">
        <v>2</v>
      </c>
      <c r="J28" s="123" t="s">
        <v>779</v>
      </c>
    </row>
    <row r="29" spans="1:11" ht="13.5" thickBot="1">
      <c r="A29" s="73" t="s">
        <v>295</v>
      </c>
      <c r="B29" s="76" t="s">
        <v>37</v>
      </c>
      <c r="C29" s="77">
        <v>299</v>
      </c>
      <c r="D29" s="76" t="s">
        <v>2</v>
      </c>
      <c r="G29" s="123" t="s">
        <v>1148</v>
      </c>
      <c r="H29" s="124">
        <v>350</v>
      </c>
      <c r="I29" s="123"/>
      <c r="J29" s="123" t="s">
        <v>779</v>
      </c>
    </row>
    <row r="30" spans="1:11" ht="13.5" thickBot="1">
      <c r="A30" s="73" t="s">
        <v>296</v>
      </c>
      <c r="B30" s="76" t="s">
        <v>38</v>
      </c>
      <c r="C30" s="77">
        <v>1900</v>
      </c>
      <c r="D30" s="76" t="s">
        <v>7</v>
      </c>
      <c r="G30" s="123" t="s">
        <v>38</v>
      </c>
      <c r="H30" s="124">
        <v>1900</v>
      </c>
      <c r="I30" s="123" t="s">
        <v>7</v>
      </c>
      <c r="J30" s="123"/>
      <c r="K30" s="6"/>
    </row>
    <row r="31" spans="1:11" ht="13.5" thickBot="1">
      <c r="A31" s="73" t="s">
        <v>413</v>
      </c>
      <c r="B31" s="79" t="s">
        <v>155</v>
      </c>
      <c r="C31" s="77"/>
      <c r="D31" s="76"/>
      <c r="G31" s="126" t="s">
        <v>155</v>
      </c>
      <c r="H31" s="123"/>
      <c r="I31" s="123"/>
      <c r="J31" s="123"/>
      <c r="K31"/>
    </row>
    <row r="32" spans="1:11" ht="13.5" thickBot="1">
      <c r="A32" s="73" t="s">
        <v>297</v>
      </c>
      <c r="B32" s="76" t="s">
        <v>39</v>
      </c>
      <c r="C32" s="77">
        <v>970</v>
      </c>
      <c r="D32" s="76"/>
      <c r="G32" s="123" t="s">
        <v>156</v>
      </c>
      <c r="H32" s="124">
        <v>970</v>
      </c>
      <c r="I32" s="123"/>
      <c r="J32" s="123"/>
      <c r="K32"/>
    </row>
    <row r="33" spans="1:11" ht="13.5" thickBot="1">
      <c r="A33" s="73" t="s">
        <v>298</v>
      </c>
      <c r="B33" s="76" t="s">
        <v>40</v>
      </c>
      <c r="C33" s="77">
        <v>350</v>
      </c>
      <c r="D33" s="76"/>
      <c r="G33" s="123" t="s">
        <v>157</v>
      </c>
      <c r="H33" s="124">
        <v>350</v>
      </c>
      <c r="I33" s="123"/>
      <c r="J33" s="123" t="s">
        <v>779</v>
      </c>
      <c r="K33" s="6"/>
    </row>
    <row r="34" spans="1:11" ht="13.5" thickBot="1">
      <c r="A34" s="73" t="s">
        <v>299</v>
      </c>
      <c r="B34" s="76" t="s">
        <v>41</v>
      </c>
      <c r="C34" s="77">
        <v>389</v>
      </c>
      <c r="D34" s="76"/>
      <c r="G34" s="125" t="s">
        <v>158</v>
      </c>
      <c r="H34" s="124">
        <v>389</v>
      </c>
      <c r="I34" s="123"/>
      <c r="J34" s="123" t="s">
        <v>779</v>
      </c>
      <c r="K34"/>
    </row>
    <row r="35" spans="1:11" ht="13.5" thickBot="1">
      <c r="A35" s="73" t="s">
        <v>413</v>
      </c>
      <c r="B35" s="80" t="s">
        <v>159</v>
      </c>
      <c r="C35" s="77"/>
      <c r="D35" s="76"/>
      <c r="G35" s="127" t="s">
        <v>159</v>
      </c>
      <c r="H35" s="123"/>
      <c r="I35" s="123"/>
      <c r="J35" s="123"/>
      <c r="K35"/>
    </row>
    <row r="36" spans="1:11" ht="13.5" thickBot="1">
      <c r="A36" s="73" t="s">
        <v>300</v>
      </c>
      <c r="B36" s="76" t="s">
        <v>42</v>
      </c>
      <c r="C36" s="77">
        <v>390</v>
      </c>
      <c r="D36" s="76" t="s">
        <v>1</v>
      </c>
      <c r="G36" s="123" t="s">
        <v>160</v>
      </c>
      <c r="H36" s="124">
        <v>390</v>
      </c>
      <c r="I36" s="123" t="s">
        <v>1</v>
      </c>
      <c r="J36" s="123" t="s">
        <v>779</v>
      </c>
      <c r="K36"/>
    </row>
    <row r="37" spans="1:11" ht="13.5" thickBot="1">
      <c r="A37" s="73" t="s">
        <v>301</v>
      </c>
      <c r="B37" s="76" t="s">
        <v>43</v>
      </c>
      <c r="C37" s="77">
        <v>390</v>
      </c>
      <c r="D37" s="76" t="s">
        <v>1</v>
      </c>
      <c r="G37" s="123" t="s">
        <v>161</v>
      </c>
      <c r="H37" s="124">
        <v>390</v>
      </c>
      <c r="I37" s="123" t="s">
        <v>1</v>
      </c>
      <c r="J37" s="123" t="s">
        <v>779</v>
      </c>
      <c r="K37"/>
    </row>
    <row r="38" spans="1:11" ht="13.5" thickBot="1">
      <c r="A38" s="73" t="s">
        <v>302</v>
      </c>
      <c r="B38" s="76" t="s">
        <v>44</v>
      </c>
      <c r="C38" s="77">
        <v>550</v>
      </c>
      <c r="D38" s="76" t="s">
        <v>1</v>
      </c>
      <c r="G38" s="123" t="s">
        <v>162</v>
      </c>
      <c r="H38" s="124">
        <v>550</v>
      </c>
      <c r="I38" s="123" t="s">
        <v>1</v>
      </c>
      <c r="J38" s="123" t="s">
        <v>779</v>
      </c>
      <c r="K38"/>
    </row>
    <row r="39" spans="1:11" ht="13.5" thickBot="1">
      <c r="A39" s="73" t="s">
        <v>303</v>
      </c>
      <c r="B39" s="76" t="s">
        <v>45</v>
      </c>
      <c r="C39" s="77">
        <v>390</v>
      </c>
      <c r="D39" s="76" t="s">
        <v>1</v>
      </c>
      <c r="G39" s="123" t="s">
        <v>163</v>
      </c>
      <c r="H39" s="124">
        <v>390</v>
      </c>
      <c r="I39" s="123" t="s">
        <v>1</v>
      </c>
      <c r="J39" s="123"/>
      <c r="K39"/>
    </row>
    <row r="40" spans="1:11" ht="13.5" thickBot="1">
      <c r="A40" s="73" t="s">
        <v>304</v>
      </c>
      <c r="B40" s="76" t="s">
        <v>46</v>
      </c>
      <c r="C40" s="77">
        <v>390</v>
      </c>
      <c r="D40" s="76" t="s">
        <v>1</v>
      </c>
      <c r="G40" s="123" t="s">
        <v>164</v>
      </c>
      <c r="H40" s="124">
        <v>390</v>
      </c>
      <c r="I40" s="123" t="s">
        <v>1</v>
      </c>
      <c r="J40" s="123"/>
      <c r="K40"/>
    </row>
    <row r="41" spans="1:11" ht="13.5" thickBot="1">
      <c r="A41" s="73" t="s">
        <v>305</v>
      </c>
      <c r="B41" s="76" t="s">
        <v>47</v>
      </c>
      <c r="C41" s="77">
        <v>390</v>
      </c>
      <c r="D41" s="76" t="s">
        <v>1</v>
      </c>
      <c r="G41" s="123" t="s">
        <v>165</v>
      </c>
      <c r="H41" s="124">
        <v>390</v>
      </c>
      <c r="I41" s="123" t="s">
        <v>1</v>
      </c>
      <c r="J41" s="123" t="s">
        <v>779</v>
      </c>
      <c r="K41"/>
    </row>
    <row r="42" spans="1:11" ht="13.5" thickBot="1">
      <c r="A42" s="73" t="s">
        <v>306</v>
      </c>
      <c r="B42" s="76" t="s">
        <v>48</v>
      </c>
      <c r="C42" s="77">
        <v>800</v>
      </c>
      <c r="D42" s="76" t="s">
        <v>1</v>
      </c>
      <c r="G42" s="123" t="s">
        <v>166</v>
      </c>
      <c r="H42" s="124">
        <v>800</v>
      </c>
      <c r="I42" s="123" t="s">
        <v>1</v>
      </c>
      <c r="J42" s="123" t="s">
        <v>779</v>
      </c>
      <c r="K42"/>
    </row>
    <row r="43" spans="1:11" ht="13.5" thickBot="1">
      <c r="A43" s="73" t="s">
        <v>307</v>
      </c>
      <c r="B43" s="76" t="s">
        <v>49</v>
      </c>
      <c r="C43" s="77">
        <v>900</v>
      </c>
      <c r="D43" s="76" t="s">
        <v>1</v>
      </c>
      <c r="G43" s="123" t="s">
        <v>167</v>
      </c>
      <c r="H43" s="124">
        <v>650</v>
      </c>
      <c r="I43" s="123" t="s">
        <v>1</v>
      </c>
      <c r="J43" s="123"/>
      <c r="K43" s="6"/>
    </row>
    <row r="44" spans="1:11" ht="13.5" thickBot="1">
      <c r="A44" s="73" t="s">
        <v>308</v>
      </c>
      <c r="B44" s="76" t="s">
        <v>50</v>
      </c>
      <c r="C44" s="77">
        <v>590</v>
      </c>
      <c r="D44" s="76" t="s">
        <v>1</v>
      </c>
      <c r="G44" s="123" t="s">
        <v>168</v>
      </c>
      <c r="H44" s="124">
        <v>590</v>
      </c>
      <c r="I44" s="123" t="s">
        <v>1</v>
      </c>
      <c r="J44" s="123"/>
      <c r="K44"/>
    </row>
    <row r="45" spans="1:11" ht="13.5" thickBot="1">
      <c r="A45" s="73" t="s">
        <v>413</v>
      </c>
      <c r="B45" s="79" t="s">
        <v>169</v>
      </c>
      <c r="C45" s="77"/>
      <c r="D45" s="76"/>
      <c r="G45" s="126" t="s">
        <v>169</v>
      </c>
      <c r="H45" s="123"/>
      <c r="I45" s="123"/>
      <c r="J45" s="123"/>
      <c r="K45"/>
    </row>
    <row r="46" spans="1:11" ht="13.5" thickBot="1">
      <c r="A46" s="73" t="s">
        <v>309</v>
      </c>
      <c r="B46" s="76" t="s">
        <v>51</v>
      </c>
      <c r="C46" s="77"/>
      <c r="D46" s="76"/>
      <c r="G46" s="123" t="s">
        <v>170</v>
      </c>
      <c r="H46" s="123"/>
      <c r="I46" s="123"/>
      <c r="J46" s="123"/>
      <c r="K46"/>
    </row>
    <row r="47" spans="1:11" ht="13.5" thickBot="1">
      <c r="A47" s="73" t="s">
        <v>310</v>
      </c>
      <c r="B47" s="76" t="s">
        <v>52</v>
      </c>
      <c r="C47" s="77"/>
      <c r="D47" s="76"/>
      <c r="G47" s="123" t="s">
        <v>171</v>
      </c>
      <c r="H47" s="123"/>
      <c r="I47" s="123"/>
      <c r="J47" s="123"/>
      <c r="K47"/>
    </row>
    <row r="48" spans="1:11" ht="13.5" thickBot="1">
      <c r="A48" s="73" t="s">
        <v>311</v>
      </c>
      <c r="B48" s="76" t="s">
        <v>53</v>
      </c>
      <c r="C48" s="77">
        <v>530</v>
      </c>
      <c r="D48" s="76" t="s">
        <v>173</v>
      </c>
      <c r="G48" s="123" t="s">
        <v>172</v>
      </c>
      <c r="H48" s="124">
        <v>530</v>
      </c>
      <c r="I48" s="123" t="s">
        <v>173</v>
      </c>
      <c r="J48" s="123" t="s">
        <v>779</v>
      </c>
      <c r="K48"/>
    </row>
    <row r="49" spans="1:11" ht="15.65" customHeight="1" thickBot="1">
      <c r="A49" s="73" t="s">
        <v>312</v>
      </c>
      <c r="B49" s="76" t="s">
        <v>54</v>
      </c>
      <c r="C49" s="77"/>
      <c r="D49" s="76"/>
      <c r="G49" s="123" t="s">
        <v>174</v>
      </c>
      <c r="H49" s="123"/>
      <c r="I49" s="123"/>
      <c r="J49" s="123"/>
      <c r="K49" s="6"/>
    </row>
    <row r="50" spans="1:11" ht="13.5" thickBot="1">
      <c r="A50" s="73" t="s">
        <v>313</v>
      </c>
      <c r="B50" s="76" t="s">
        <v>55</v>
      </c>
      <c r="C50" s="77">
        <v>420</v>
      </c>
      <c r="D50" s="76" t="s">
        <v>7</v>
      </c>
      <c r="G50" s="123" t="s">
        <v>175</v>
      </c>
      <c r="H50" s="124">
        <v>420</v>
      </c>
      <c r="I50" s="123" t="s">
        <v>7</v>
      </c>
      <c r="J50" s="123" t="s">
        <v>117</v>
      </c>
      <c r="K50"/>
    </row>
    <row r="51" spans="1:11" ht="13.5" thickBot="1">
      <c r="A51" s="73" t="s">
        <v>413</v>
      </c>
      <c r="B51" s="81" t="s">
        <v>176</v>
      </c>
      <c r="C51" s="77"/>
      <c r="D51" s="76"/>
      <c r="G51" s="128" t="s">
        <v>176</v>
      </c>
      <c r="H51" s="123"/>
      <c r="I51" s="123"/>
      <c r="J51" s="123"/>
      <c r="K51"/>
    </row>
    <row r="52" spans="1:11" ht="13.5" thickBot="1">
      <c r="A52" s="73" t="s">
        <v>314</v>
      </c>
      <c r="B52" s="76" t="s">
        <v>56</v>
      </c>
      <c r="C52" s="77">
        <v>450</v>
      </c>
      <c r="D52" s="76" t="s">
        <v>7</v>
      </c>
      <c r="G52" s="123" t="s">
        <v>178</v>
      </c>
      <c r="H52" s="123" t="s">
        <v>177</v>
      </c>
      <c r="I52" s="123" t="s">
        <v>7</v>
      </c>
      <c r="J52" s="123" t="s">
        <v>824</v>
      </c>
      <c r="K52"/>
    </row>
    <row r="53" spans="1:11" ht="13.5" thickBot="1">
      <c r="A53" s="73" t="s">
        <v>315</v>
      </c>
      <c r="B53" s="76" t="s">
        <v>57</v>
      </c>
      <c r="C53" s="77">
        <v>290</v>
      </c>
      <c r="D53" s="76" t="s">
        <v>7</v>
      </c>
      <c r="G53" s="123" t="s">
        <v>179</v>
      </c>
      <c r="H53" s="124">
        <v>290</v>
      </c>
      <c r="I53" s="123" t="s">
        <v>7</v>
      </c>
      <c r="J53" s="123"/>
      <c r="K53"/>
    </row>
    <row r="54" spans="1:11" ht="13.5" thickBot="1">
      <c r="A54" s="73" t="s">
        <v>316</v>
      </c>
      <c r="B54" s="76" t="s">
        <v>58</v>
      </c>
      <c r="C54" s="77">
        <v>630</v>
      </c>
      <c r="D54" s="76" t="s">
        <v>7</v>
      </c>
      <c r="G54" s="123" t="s">
        <v>180</v>
      </c>
      <c r="H54" s="124">
        <v>630</v>
      </c>
      <c r="I54" s="123" t="s">
        <v>7</v>
      </c>
      <c r="J54" s="123" t="s">
        <v>779</v>
      </c>
      <c r="K54"/>
    </row>
    <row r="55" spans="1:11" ht="13.5" thickBot="1">
      <c r="A55" s="73" t="s">
        <v>317</v>
      </c>
      <c r="B55" s="76" t="s">
        <v>59</v>
      </c>
      <c r="C55" s="77">
        <v>270</v>
      </c>
      <c r="D55" s="76" t="s">
        <v>7</v>
      </c>
      <c r="G55" s="123" t="s">
        <v>181</v>
      </c>
      <c r="H55" s="124">
        <v>270</v>
      </c>
      <c r="I55" s="123" t="s">
        <v>7</v>
      </c>
      <c r="J55" s="123"/>
      <c r="K55"/>
    </row>
    <row r="56" spans="1:11" ht="13.5" thickBot="1">
      <c r="A56" s="73" t="s">
        <v>318</v>
      </c>
      <c r="B56" s="76" t="s">
        <v>60</v>
      </c>
      <c r="C56" s="77">
        <v>450</v>
      </c>
      <c r="D56" s="76" t="s">
        <v>7</v>
      </c>
      <c r="G56" s="123" t="s">
        <v>182</v>
      </c>
      <c r="H56" s="124">
        <v>450</v>
      </c>
      <c r="I56" s="123" t="s">
        <v>7</v>
      </c>
      <c r="J56" s="123"/>
      <c r="K56"/>
    </row>
    <row r="57" spans="1:11" ht="13.5" thickBot="1">
      <c r="A57" s="73" t="s">
        <v>319</v>
      </c>
      <c r="B57" s="76" t="s">
        <v>61</v>
      </c>
      <c r="C57" s="77">
        <v>390</v>
      </c>
      <c r="D57" s="76" t="s">
        <v>7</v>
      </c>
      <c r="G57" s="123" t="s">
        <v>183</v>
      </c>
      <c r="H57" s="124">
        <v>390</v>
      </c>
      <c r="I57" s="123" t="s">
        <v>7</v>
      </c>
      <c r="J57" s="123"/>
      <c r="K57"/>
    </row>
    <row r="58" spans="1:11" ht="13.5" thickBot="1">
      <c r="A58" s="73" t="s">
        <v>320</v>
      </c>
      <c r="B58" s="76" t="s">
        <v>62</v>
      </c>
      <c r="C58" s="77">
        <v>550</v>
      </c>
      <c r="D58" s="76" t="s">
        <v>7</v>
      </c>
      <c r="G58" s="123" t="s">
        <v>184</v>
      </c>
      <c r="H58" s="124">
        <v>550</v>
      </c>
      <c r="I58" s="123" t="s">
        <v>7</v>
      </c>
      <c r="J58" s="123" t="s">
        <v>824</v>
      </c>
      <c r="K58"/>
    </row>
    <row r="59" spans="1:11" ht="13.5" thickBot="1">
      <c r="A59" s="73" t="s">
        <v>321</v>
      </c>
      <c r="B59" s="76" t="s">
        <v>63</v>
      </c>
      <c r="C59" s="77">
        <v>600</v>
      </c>
      <c r="D59" s="76" t="s">
        <v>7</v>
      </c>
      <c r="G59" s="123" t="s">
        <v>185</v>
      </c>
      <c r="H59" s="124">
        <v>600</v>
      </c>
      <c r="I59" s="123" t="s">
        <v>186</v>
      </c>
      <c r="J59" s="123"/>
      <c r="K59"/>
    </row>
    <row r="60" spans="1:11" ht="13.5" thickBot="1">
      <c r="A60" s="73" t="s">
        <v>322</v>
      </c>
      <c r="B60" s="76" t="s">
        <v>64</v>
      </c>
      <c r="C60" s="77">
        <v>850</v>
      </c>
      <c r="D60" s="76" t="s">
        <v>7</v>
      </c>
      <c r="G60" s="123" t="s">
        <v>187</v>
      </c>
      <c r="H60" s="124">
        <v>850</v>
      </c>
      <c r="I60" s="123" t="s">
        <v>186</v>
      </c>
      <c r="J60" s="123" t="s">
        <v>779</v>
      </c>
      <c r="K60"/>
    </row>
    <row r="61" spans="1:11" ht="13.5" thickBot="1">
      <c r="A61" s="73" t="s">
        <v>323</v>
      </c>
      <c r="B61" s="76" t="s">
        <v>65</v>
      </c>
      <c r="C61" s="77">
        <v>650</v>
      </c>
      <c r="D61" s="76" t="s">
        <v>7</v>
      </c>
      <c r="G61" s="123" t="s">
        <v>188</v>
      </c>
      <c r="H61" s="124">
        <v>650</v>
      </c>
      <c r="I61" s="123" t="s">
        <v>186</v>
      </c>
      <c r="J61" s="123" t="s">
        <v>779</v>
      </c>
      <c r="K61"/>
    </row>
    <row r="62" spans="1:11" ht="13.5" thickBot="1">
      <c r="A62" s="73" t="s">
        <v>324</v>
      </c>
      <c r="B62" s="76" t="s">
        <v>66</v>
      </c>
      <c r="C62" s="77">
        <v>950</v>
      </c>
      <c r="D62" s="76" t="s">
        <v>7</v>
      </c>
      <c r="G62" s="123" t="s">
        <v>189</v>
      </c>
      <c r="H62" s="124">
        <v>950</v>
      </c>
      <c r="I62" s="123" t="s">
        <v>7</v>
      </c>
      <c r="J62" s="123" t="s">
        <v>779</v>
      </c>
      <c r="K62"/>
    </row>
    <row r="63" spans="1:11" ht="13.5" thickBot="1">
      <c r="A63" s="73" t="s">
        <v>325</v>
      </c>
      <c r="B63" s="76" t="s">
        <v>67</v>
      </c>
      <c r="C63" s="77">
        <v>750</v>
      </c>
      <c r="D63" s="76" t="s">
        <v>7</v>
      </c>
      <c r="G63" s="123" t="s">
        <v>190</v>
      </c>
      <c r="H63" s="124">
        <v>750</v>
      </c>
      <c r="I63" s="123" t="s">
        <v>7</v>
      </c>
      <c r="J63" s="123" t="s">
        <v>779</v>
      </c>
      <c r="K63"/>
    </row>
    <row r="64" spans="1:11" ht="13.5" thickBot="1">
      <c r="A64" s="73" t="s">
        <v>326</v>
      </c>
      <c r="B64" s="76" t="s">
        <v>68</v>
      </c>
      <c r="C64" s="77">
        <v>950</v>
      </c>
      <c r="D64" s="76" t="s">
        <v>7</v>
      </c>
      <c r="G64" s="123" t="s">
        <v>191</v>
      </c>
      <c r="H64" s="124">
        <v>950</v>
      </c>
      <c r="I64" s="123" t="s">
        <v>7</v>
      </c>
      <c r="J64" s="123" t="s">
        <v>779</v>
      </c>
      <c r="K64"/>
    </row>
    <row r="65" spans="1:11" ht="13.5" thickBot="1">
      <c r="A65" s="73" t="s">
        <v>327</v>
      </c>
      <c r="B65" s="76" t="s">
        <v>69</v>
      </c>
      <c r="C65" s="77">
        <v>650</v>
      </c>
      <c r="D65" s="76" t="s">
        <v>7</v>
      </c>
      <c r="G65" s="123" t="s">
        <v>192</v>
      </c>
      <c r="H65" s="124">
        <v>650</v>
      </c>
      <c r="I65" s="123" t="s">
        <v>7</v>
      </c>
      <c r="J65" s="123" t="s">
        <v>824</v>
      </c>
      <c r="K65"/>
    </row>
    <row r="66" spans="1:11" ht="13.5" thickBot="1">
      <c r="A66" s="73" t="s">
        <v>328</v>
      </c>
      <c r="B66" s="76" t="s">
        <v>70</v>
      </c>
      <c r="C66" s="77"/>
      <c r="D66" s="76"/>
      <c r="G66" s="123" t="s">
        <v>193</v>
      </c>
      <c r="H66" s="123"/>
      <c r="I66" s="123"/>
      <c r="J66" s="123"/>
      <c r="K66"/>
    </row>
    <row r="67" spans="1:11" ht="13.5" thickBot="1">
      <c r="A67" s="73" t="s">
        <v>329</v>
      </c>
      <c r="B67" s="76" t="s">
        <v>419</v>
      </c>
      <c r="C67" s="77">
        <v>690</v>
      </c>
      <c r="D67" s="76" t="s">
        <v>186</v>
      </c>
      <c r="G67" s="123" t="s">
        <v>194</v>
      </c>
      <c r="H67" s="124">
        <v>690</v>
      </c>
      <c r="I67" s="123" t="s">
        <v>186</v>
      </c>
      <c r="J67" s="123"/>
      <c r="K67"/>
    </row>
    <row r="68" spans="1:11" ht="13.5" thickBot="1">
      <c r="A68" s="73" t="s">
        <v>331</v>
      </c>
      <c r="B68" s="76" t="s">
        <v>330</v>
      </c>
      <c r="C68" s="77">
        <v>650</v>
      </c>
      <c r="D68" s="76" t="s">
        <v>186</v>
      </c>
      <c r="G68" s="123" t="s">
        <v>195</v>
      </c>
      <c r="H68" s="124">
        <v>650</v>
      </c>
      <c r="I68" s="123" t="s">
        <v>186</v>
      </c>
      <c r="J68" s="123"/>
      <c r="K68"/>
    </row>
    <row r="69" spans="1:11" ht="13.5" thickBot="1">
      <c r="A69" s="73" t="s">
        <v>333</v>
      </c>
      <c r="B69" s="76" t="s">
        <v>332</v>
      </c>
      <c r="C69" s="77">
        <v>650</v>
      </c>
      <c r="D69" s="76" t="s">
        <v>186</v>
      </c>
      <c r="G69" s="123" t="s">
        <v>196</v>
      </c>
      <c r="H69" s="124">
        <v>650</v>
      </c>
      <c r="I69" s="123" t="s">
        <v>186</v>
      </c>
      <c r="J69" s="123"/>
      <c r="K69"/>
    </row>
    <row r="70" spans="1:11" ht="13.5" thickBot="1">
      <c r="A70" s="73" t="s">
        <v>335</v>
      </c>
      <c r="B70" s="76" t="s">
        <v>334</v>
      </c>
      <c r="C70" s="77">
        <v>650</v>
      </c>
      <c r="D70" s="76" t="s">
        <v>186</v>
      </c>
      <c r="G70" s="123" t="s">
        <v>197</v>
      </c>
      <c r="H70" s="124">
        <v>650</v>
      </c>
      <c r="I70" s="123" t="s">
        <v>186</v>
      </c>
      <c r="J70" s="123"/>
      <c r="K70" s="6"/>
    </row>
    <row r="71" spans="1:11" ht="13.5" thickBot="1">
      <c r="A71" s="73" t="s">
        <v>337</v>
      </c>
      <c r="B71" s="76" t="s">
        <v>336</v>
      </c>
      <c r="C71" s="77">
        <v>750</v>
      </c>
      <c r="D71" s="76" t="s">
        <v>186</v>
      </c>
      <c r="G71" s="123" t="s">
        <v>198</v>
      </c>
      <c r="H71" s="124">
        <v>750</v>
      </c>
      <c r="I71" s="123" t="s">
        <v>186</v>
      </c>
      <c r="J71" s="123"/>
      <c r="K71"/>
    </row>
    <row r="72" spans="1:11" ht="13.5" thickBot="1">
      <c r="A72" s="73" t="s">
        <v>1184</v>
      </c>
      <c r="B72" s="76" t="s">
        <v>1183</v>
      </c>
      <c r="C72" s="77">
        <v>650</v>
      </c>
      <c r="D72" s="76"/>
      <c r="G72" s="123" t="s">
        <v>1179</v>
      </c>
      <c r="H72" s="124">
        <v>650</v>
      </c>
      <c r="I72" s="123"/>
      <c r="J72" s="123"/>
      <c r="K72"/>
    </row>
    <row r="73" spans="1:11" ht="13.5" thickBot="1">
      <c r="A73" s="73"/>
      <c r="B73" s="76"/>
      <c r="C73" s="77"/>
      <c r="D73" s="76"/>
      <c r="G73" s="128" t="s">
        <v>199</v>
      </c>
      <c r="H73" s="123"/>
      <c r="I73" s="123"/>
      <c r="J73" s="123"/>
      <c r="K73"/>
    </row>
    <row r="74" spans="1:11" ht="13.5" thickBot="1">
      <c r="A74" s="73" t="s">
        <v>338</v>
      </c>
      <c r="B74" s="76" t="s">
        <v>71</v>
      </c>
      <c r="C74" s="77">
        <v>1300</v>
      </c>
      <c r="D74" s="76" t="s">
        <v>1</v>
      </c>
      <c r="G74" s="123" t="s">
        <v>200</v>
      </c>
      <c r="H74" s="124">
        <v>1300</v>
      </c>
      <c r="I74" s="123" t="s">
        <v>1</v>
      </c>
      <c r="J74" s="123"/>
      <c r="K74"/>
    </row>
    <row r="75" spans="1:11" ht="13.5" thickBot="1">
      <c r="A75" s="73" t="s">
        <v>339</v>
      </c>
      <c r="B75" s="76" t="s">
        <v>72</v>
      </c>
      <c r="C75" s="77">
        <v>950</v>
      </c>
      <c r="D75" s="76" t="s">
        <v>1</v>
      </c>
      <c r="G75" s="123" t="s">
        <v>201</v>
      </c>
      <c r="H75" s="124">
        <v>950</v>
      </c>
      <c r="I75" s="123" t="s">
        <v>1</v>
      </c>
      <c r="J75" s="123" t="s">
        <v>779</v>
      </c>
      <c r="K75"/>
    </row>
    <row r="76" spans="1:11" ht="13.5" thickBot="1">
      <c r="A76" s="73" t="s">
        <v>340</v>
      </c>
      <c r="B76" s="76" t="s">
        <v>73</v>
      </c>
      <c r="C76" s="77">
        <v>450</v>
      </c>
      <c r="D76" s="76" t="s">
        <v>1</v>
      </c>
      <c r="G76" s="123" t="s">
        <v>202</v>
      </c>
      <c r="H76" s="124">
        <v>450</v>
      </c>
      <c r="I76" s="123" t="s">
        <v>1</v>
      </c>
      <c r="J76" s="123"/>
      <c r="K76"/>
    </row>
    <row r="77" spans="1:11" ht="13.5" thickBot="1">
      <c r="A77" s="73" t="s">
        <v>341</v>
      </c>
      <c r="B77" s="76" t="s">
        <v>74</v>
      </c>
      <c r="C77" s="77">
        <v>650</v>
      </c>
      <c r="D77" s="76" t="s">
        <v>1</v>
      </c>
      <c r="G77" s="123" t="s">
        <v>203</v>
      </c>
      <c r="H77" s="124">
        <v>650</v>
      </c>
      <c r="I77" s="123" t="s">
        <v>1</v>
      </c>
      <c r="J77" s="123" t="s">
        <v>779</v>
      </c>
      <c r="K77"/>
    </row>
    <row r="78" spans="1:11" ht="13.5" thickBot="1">
      <c r="A78" s="73" t="s">
        <v>342</v>
      </c>
      <c r="B78" s="76" t="s">
        <v>75</v>
      </c>
      <c r="C78" s="77">
        <v>675</v>
      </c>
      <c r="D78" s="76" t="s">
        <v>2</v>
      </c>
      <c r="G78" s="123" t="s">
        <v>204</v>
      </c>
      <c r="H78" s="124">
        <v>675</v>
      </c>
      <c r="I78" s="123" t="s">
        <v>2</v>
      </c>
      <c r="J78" s="123"/>
      <c r="K78" s="6"/>
    </row>
    <row r="79" spans="1:11" ht="13.5" thickBot="1">
      <c r="A79" s="73" t="s">
        <v>343</v>
      </c>
      <c r="B79" s="76" t="s">
        <v>76</v>
      </c>
      <c r="C79" s="77">
        <v>1300</v>
      </c>
      <c r="D79" s="76" t="s">
        <v>1</v>
      </c>
      <c r="G79" s="123" t="s">
        <v>205</v>
      </c>
      <c r="H79" s="124">
        <v>1300</v>
      </c>
      <c r="I79" s="123" t="s">
        <v>1</v>
      </c>
      <c r="J79" s="123"/>
      <c r="K79"/>
    </row>
    <row r="80" spans="1:11" ht="13.5" thickBot="1">
      <c r="A80" s="73" t="s">
        <v>344</v>
      </c>
      <c r="B80" s="76" t="s">
        <v>77</v>
      </c>
      <c r="C80" s="77">
        <v>700</v>
      </c>
      <c r="D80" s="76" t="s">
        <v>1</v>
      </c>
      <c r="G80" s="123" t="s">
        <v>206</v>
      </c>
      <c r="H80" s="124">
        <v>700</v>
      </c>
      <c r="I80" s="123" t="s">
        <v>1</v>
      </c>
      <c r="J80" s="123" t="s">
        <v>779</v>
      </c>
      <c r="K80"/>
    </row>
    <row r="81" spans="1:11" ht="13.5" thickBot="1">
      <c r="A81" s="73" t="s">
        <v>413</v>
      </c>
      <c r="B81" s="80" t="s">
        <v>207</v>
      </c>
      <c r="C81" s="77"/>
      <c r="D81" s="76"/>
      <c r="G81" s="127" t="s">
        <v>207</v>
      </c>
      <c r="H81" s="123"/>
      <c r="I81" s="123"/>
      <c r="J81" s="123"/>
      <c r="K81"/>
    </row>
    <row r="82" spans="1:11" ht="13.5" thickBot="1">
      <c r="A82" s="73" t="s">
        <v>437</v>
      </c>
      <c r="B82" s="76" t="s">
        <v>78</v>
      </c>
      <c r="C82" s="77">
        <v>290</v>
      </c>
      <c r="D82" s="76" t="s">
        <v>1</v>
      </c>
      <c r="G82" s="123" t="s">
        <v>208</v>
      </c>
      <c r="H82" s="124">
        <v>290</v>
      </c>
      <c r="I82" s="123" t="s">
        <v>1</v>
      </c>
      <c r="J82" s="123" t="s">
        <v>779</v>
      </c>
      <c r="K82"/>
    </row>
    <row r="83" spans="1:11" ht="13.5" thickBot="1">
      <c r="A83" s="73" t="s">
        <v>345</v>
      </c>
      <c r="B83" s="76" t="s">
        <v>79</v>
      </c>
      <c r="C83" s="77">
        <v>950</v>
      </c>
      <c r="D83" s="76" t="s">
        <v>1</v>
      </c>
      <c r="G83" s="123" t="s">
        <v>209</v>
      </c>
      <c r="H83" s="124">
        <v>800</v>
      </c>
      <c r="I83" s="123" t="s">
        <v>1</v>
      </c>
      <c r="J83" s="123"/>
      <c r="K83"/>
    </row>
    <row r="84" spans="1:11" ht="13.5" thickBot="1">
      <c r="A84" s="73" t="s">
        <v>346</v>
      </c>
      <c r="B84" s="76" t="s">
        <v>80</v>
      </c>
      <c r="C84" s="77">
        <v>290</v>
      </c>
      <c r="D84" s="76" t="s">
        <v>1</v>
      </c>
      <c r="G84" s="123" t="s">
        <v>210</v>
      </c>
      <c r="H84" s="124">
        <v>290</v>
      </c>
      <c r="I84" s="123" t="s">
        <v>1</v>
      </c>
      <c r="J84" s="123" t="s">
        <v>779</v>
      </c>
      <c r="K84"/>
    </row>
    <row r="85" spans="1:11" ht="13.5" thickBot="1">
      <c r="A85" s="73" t="s">
        <v>347</v>
      </c>
      <c r="B85" s="76" t="s">
        <v>81</v>
      </c>
      <c r="C85" s="77">
        <v>450</v>
      </c>
      <c r="D85" s="76" t="s">
        <v>8</v>
      </c>
      <c r="G85" s="123" t="s">
        <v>211</v>
      </c>
      <c r="H85" s="124">
        <v>450</v>
      </c>
      <c r="I85" s="123" t="s">
        <v>8</v>
      </c>
      <c r="J85" s="123" t="s">
        <v>779</v>
      </c>
      <c r="K85"/>
    </row>
    <row r="86" spans="1:11" ht="13.5" thickBot="1">
      <c r="A86" s="73" t="s">
        <v>434</v>
      </c>
      <c r="B86" s="76" t="s">
        <v>82</v>
      </c>
      <c r="C86" s="77">
        <v>1200</v>
      </c>
      <c r="D86" s="76" t="s">
        <v>1</v>
      </c>
      <c r="G86" s="123" t="s">
        <v>212</v>
      </c>
      <c r="H86" s="124">
        <v>1200</v>
      </c>
      <c r="I86" s="123" t="s">
        <v>1</v>
      </c>
      <c r="J86" s="123"/>
      <c r="K86" s="6"/>
    </row>
    <row r="87" spans="1:11" ht="13.5" thickBot="1">
      <c r="A87" s="73" t="s">
        <v>348</v>
      </c>
      <c r="B87" s="76" t="s">
        <v>83</v>
      </c>
      <c r="C87" s="77">
        <v>1200</v>
      </c>
      <c r="D87" s="76" t="s">
        <v>1</v>
      </c>
      <c r="G87" s="123" t="s">
        <v>213</v>
      </c>
      <c r="H87" s="124">
        <v>1200</v>
      </c>
      <c r="I87" s="123" t="s">
        <v>1</v>
      </c>
      <c r="J87" s="123"/>
      <c r="K87" s="6"/>
    </row>
    <row r="88" spans="1:11" ht="13.5" thickBot="1">
      <c r="A88" s="73" t="s">
        <v>438</v>
      </c>
      <c r="B88" s="76" t="s">
        <v>84</v>
      </c>
      <c r="C88" s="77">
        <v>399</v>
      </c>
      <c r="D88" s="76" t="s">
        <v>1</v>
      </c>
      <c r="G88" s="123" t="s">
        <v>214</v>
      </c>
      <c r="H88" s="124">
        <v>399</v>
      </c>
      <c r="I88" s="123" t="s">
        <v>1</v>
      </c>
      <c r="J88" s="123" t="s">
        <v>779</v>
      </c>
      <c r="K88"/>
    </row>
    <row r="89" spans="1:11" ht="13.5" thickBot="1">
      <c r="A89" s="73" t="s">
        <v>413</v>
      </c>
      <c r="B89" s="79" t="s">
        <v>215</v>
      </c>
      <c r="C89" s="77"/>
      <c r="D89" s="76"/>
      <c r="G89" s="126" t="s">
        <v>215</v>
      </c>
      <c r="H89" s="123"/>
      <c r="I89" s="123"/>
      <c r="J89" s="123"/>
      <c r="K89"/>
    </row>
    <row r="90" spans="1:11" ht="13.5" thickBot="1">
      <c r="A90" s="73" t="s">
        <v>349</v>
      </c>
      <c r="B90" s="76" t="s">
        <v>85</v>
      </c>
      <c r="C90" s="82">
        <v>490</v>
      </c>
      <c r="D90" s="76" t="s">
        <v>217</v>
      </c>
      <c r="G90" s="123" t="s">
        <v>216</v>
      </c>
      <c r="H90" s="124">
        <v>490</v>
      </c>
      <c r="I90" s="123" t="s">
        <v>217</v>
      </c>
      <c r="J90" s="123" t="s">
        <v>779</v>
      </c>
      <c r="K90"/>
    </row>
    <row r="91" spans="1:11" ht="13.5" thickBot="1">
      <c r="A91" s="73" t="s">
        <v>350</v>
      </c>
      <c r="B91" s="76" t="s">
        <v>86</v>
      </c>
      <c r="C91" s="82">
        <v>350</v>
      </c>
      <c r="D91" s="76" t="s">
        <v>217</v>
      </c>
      <c r="G91" s="123" t="s">
        <v>218</v>
      </c>
      <c r="H91" s="124">
        <v>350</v>
      </c>
      <c r="I91" s="123" t="s">
        <v>217</v>
      </c>
      <c r="J91" s="123"/>
      <c r="K91"/>
    </row>
    <row r="92" spans="1:11" ht="13.5" thickBot="1">
      <c r="A92" s="73" t="s">
        <v>351</v>
      </c>
      <c r="B92" s="76" t="s">
        <v>87</v>
      </c>
      <c r="C92" s="77">
        <v>550</v>
      </c>
      <c r="D92" s="76" t="s">
        <v>217</v>
      </c>
      <c r="G92" s="123" t="s">
        <v>219</v>
      </c>
      <c r="H92" s="124">
        <v>550</v>
      </c>
      <c r="I92" s="123" t="s">
        <v>217</v>
      </c>
      <c r="J92" s="123" t="s">
        <v>779</v>
      </c>
      <c r="K92"/>
    </row>
    <row r="93" spans="1:11" ht="13.5" thickBot="1">
      <c r="A93" s="73" t="s">
        <v>352</v>
      </c>
      <c r="B93" s="76" t="s">
        <v>88</v>
      </c>
      <c r="C93" s="77">
        <v>550</v>
      </c>
      <c r="D93" s="76"/>
      <c r="G93" s="123" t="s">
        <v>220</v>
      </c>
      <c r="H93" s="124">
        <v>550</v>
      </c>
      <c r="I93" s="123"/>
      <c r="J93" s="123"/>
      <c r="K93" s="6"/>
    </row>
    <row r="94" spans="1:11" ht="13.5" thickBot="1">
      <c r="A94" s="73" t="s">
        <v>353</v>
      </c>
      <c r="B94" s="76" t="s">
        <v>89</v>
      </c>
      <c r="C94" s="82">
        <v>550</v>
      </c>
      <c r="D94" s="76"/>
      <c r="G94" s="123" t="s">
        <v>221</v>
      </c>
      <c r="H94" s="124">
        <v>550</v>
      </c>
      <c r="I94" s="123"/>
      <c r="J94" s="123"/>
      <c r="K94"/>
    </row>
    <row r="95" spans="1:11" ht="13.5" thickBot="1">
      <c r="A95" s="73" t="s">
        <v>413</v>
      </c>
      <c r="B95" s="83" t="s">
        <v>222</v>
      </c>
      <c r="C95" s="77"/>
      <c r="D95" s="76"/>
      <c r="G95" s="129" t="s">
        <v>222</v>
      </c>
      <c r="H95" s="123"/>
      <c r="I95" s="123"/>
      <c r="J95" s="123"/>
      <c r="K95"/>
    </row>
    <row r="96" spans="1:11" ht="13.5" thickBot="1">
      <c r="A96" s="73" t="s">
        <v>355</v>
      </c>
      <c r="B96" s="76" t="s">
        <v>354</v>
      </c>
      <c r="C96" s="77">
        <v>450</v>
      </c>
      <c r="D96" s="76" t="s">
        <v>217</v>
      </c>
      <c r="G96" s="123" t="s">
        <v>223</v>
      </c>
      <c r="H96" s="124">
        <v>450</v>
      </c>
      <c r="I96" s="123" t="s">
        <v>217</v>
      </c>
      <c r="J96" s="123"/>
      <c r="K96"/>
    </row>
    <row r="97" spans="1:11" ht="13.5" thickBot="1">
      <c r="A97" s="73" t="s">
        <v>356</v>
      </c>
      <c r="B97" s="76" t="s">
        <v>90</v>
      </c>
      <c r="C97" s="82">
        <v>450</v>
      </c>
      <c r="D97" s="76" t="s">
        <v>217</v>
      </c>
      <c r="G97" s="123" t="s">
        <v>224</v>
      </c>
      <c r="H97" s="124">
        <v>450</v>
      </c>
      <c r="I97" s="123" t="s">
        <v>217</v>
      </c>
      <c r="J97" s="123"/>
      <c r="K97"/>
    </row>
    <row r="98" spans="1:11" ht="13.5" thickBot="1">
      <c r="A98" s="73" t="s">
        <v>357</v>
      </c>
      <c r="B98" s="76" t="s">
        <v>91</v>
      </c>
      <c r="C98" s="77">
        <v>390</v>
      </c>
      <c r="D98" s="76" t="s">
        <v>217</v>
      </c>
      <c r="G98" s="123" t="s">
        <v>225</v>
      </c>
      <c r="H98" s="124">
        <v>390</v>
      </c>
      <c r="I98" s="123" t="s">
        <v>217</v>
      </c>
      <c r="J98" s="123" t="s">
        <v>117</v>
      </c>
      <c r="K98"/>
    </row>
    <row r="99" spans="1:11" ht="13.5" thickBot="1">
      <c r="A99" s="73" t="s">
        <v>358</v>
      </c>
      <c r="B99" s="76" t="s">
        <v>92</v>
      </c>
      <c r="C99" s="77">
        <v>390</v>
      </c>
      <c r="D99" s="76" t="s">
        <v>217</v>
      </c>
      <c r="G99" s="123" t="s">
        <v>226</v>
      </c>
      <c r="H99" s="124">
        <v>390</v>
      </c>
      <c r="I99" s="123" t="s">
        <v>217</v>
      </c>
      <c r="J99" s="123" t="s">
        <v>779</v>
      </c>
      <c r="K99"/>
    </row>
    <row r="100" spans="1:11" ht="13.5" thickBot="1">
      <c r="A100" s="73" t="s">
        <v>359</v>
      </c>
      <c r="B100" s="76" t="s">
        <v>93</v>
      </c>
      <c r="C100" s="77">
        <v>390</v>
      </c>
      <c r="D100" s="76" t="s">
        <v>217</v>
      </c>
      <c r="G100" s="123" t="s">
        <v>227</v>
      </c>
      <c r="H100" s="124">
        <v>390</v>
      </c>
      <c r="I100" s="123" t="s">
        <v>217</v>
      </c>
      <c r="J100" s="123" t="s">
        <v>779</v>
      </c>
      <c r="K100"/>
    </row>
    <row r="101" spans="1:11" ht="13.5" thickBot="1">
      <c r="A101" s="73" t="s">
        <v>360</v>
      </c>
      <c r="B101" s="76" t="s">
        <v>94</v>
      </c>
      <c r="C101" s="82">
        <v>390</v>
      </c>
      <c r="D101" s="76" t="s">
        <v>217</v>
      </c>
      <c r="G101" s="125" t="s">
        <v>228</v>
      </c>
      <c r="H101" s="124">
        <v>390</v>
      </c>
      <c r="I101" s="123" t="s">
        <v>217</v>
      </c>
      <c r="J101" s="123" t="s">
        <v>779</v>
      </c>
      <c r="K101"/>
    </row>
    <row r="102" spans="1:11" ht="13.5" thickBot="1">
      <c r="A102" s="73" t="s">
        <v>361</v>
      </c>
      <c r="B102" s="76" t="s">
        <v>95</v>
      </c>
      <c r="C102" s="82">
        <v>450</v>
      </c>
      <c r="D102" s="76" t="s">
        <v>217</v>
      </c>
      <c r="G102" s="125" t="s">
        <v>229</v>
      </c>
      <c r="H102" s="124">
        <v>450</v>
      </c>
      <c r="I102" s="123" t="s">
        <v>217</v>
      </c>
      <c r="J102" s="123" t="s">
        <v>779</v>
      </c>
      <c r="K102"/>
    </row>
    <row r="103" spans="1:11" ht="13.5" thickBot="1">
      <c r="A103" s="73" t="s">
        <v>362</v>
      </c>
      <c r="B103" s="76" t="s">
        <v>96</v>
      </c>
      <c r="C103" s="82">
        <v>2500</v>
      </c>
      <c r="D103" s="76" t="s">
        <v>217</v>
      </c>
      <c r="G103" s="123" t="s">
        <v>230</v>
      </c>
      <c r="H103" s="124">
        <v>2500</v>
      </c>
      <c r="I103" s="123" t="s">
        <v>217</v>
      </c>
      <c r="J103" s="123" t="s">
        <v>779</v>
      </c>
      <c r="K103"/>
    </row>
    <row r="104" spans="1:11" ht="13.5" thickBot="1">
      <c r="A104" s="73" t="s">
        <v>363</v>
      </c>
      <c r="B104" s="76" t="s">
        <v>97</v>
      </c>
      <c r="C104" s="82">
        <v>450</v>
      </c>
      <c r="D104" s="76" t="s">
        <v>217</v>
      </c>
      <c r="G104" s="123" t="s">
        <v>231</v>
      </c>
      <c r="H104" s="124">
        <v>450</v>
      </c>
      <c r="I104" s="123" t="s">
        <v>217</v>
      </c>
      <c r="J104" s="123" t="s">
        <v>779</v>
      </c>
      <c r="K104"/>
    </row>
    <row r="105" spans="1:11" ht="13.5" thickBot="1">
      <c r="A105" s="73" t="s">
        <v>364</v>
      </c>
      <c r="B105" s="76" t="s">
        <v>98</v>
      </c>
      <c r="C105" s="82">
        <v>390</v>
      </c>
      <c r="D105" s="76" t="s">
        <v>217</v>
      </c>
      <c r="G105" s="123" t="s">
        <v>232</v>
      </c>
      <c r="H105" s="124">
        <v>390</v>
      </c>
      <c r="I105" s="123" t="s">
        <v>217</v>
      </c>
      <c r="J105" s="123"/>
      <c r="K105"/>
    </row>
    <row r="106" spans="1:11" ht="13.5" thickBot="1">
      <c r="A106" s="73" t="s">
        <v>365</v>
      </c>
      <c r="B106" s="76" t="s">
        <v>99</v>
      </c>
      <c r="C106" s="77">
        <v>550</v>
      </c>
      <c r="D106" s="76" t="s">
        <v>217</v>
      </c>
      <c r="G106" s="123" t="s">
        <v>233</v>
      </c>
      <c r="H106" s="124">
        <v>550</v>
      </c>
      <c r="I106" s="123" t="s">
        <v>217</v>
      </c>
      <c r="J106" s="123"/>
      <c r="K106"/>
    </row>
    <row r="107" spans="1:11" ht="13.5" thickBot="1">
      <c r="A107" s="73" t="s">
        <v>384</v>
      </c>
      <c r="B107" s="76" t="s">
        <v>100</v>
      </c>
      <c r="C107" s="82">
        <v>550</v>
      </c>
      <c r="D107" s="76" t="s">
        <v>217</v>
      </c>
      <c r="G107" s="123" t="s">
        <v>234</v>
      </c>
      <c r="H107" s="124">
        <v>550</v>
      </c>
      <c r="I107" s="123" t="s">
        <v>217</v>
      </c>
      <c r="J107" s="123" t="s">
        <v>779</v>
      </c>
      <c r="K107"/>
    </row>
    <row r="108" spans="1:11" ht="13.5" thickBot="1">
      <c r="A108" s="73" t="s">
        <v>385</v>
      </c>
      <c r="B108" s="76" t="s">
        <v>101</v>
      </c>
      <c r="C108" s="82">
        <v>390</v>
      </c>
      <c r="D108" s="76" t="s">
        <v>217</v>
      </c>
      <c r="G108" s="123" t="s">
        <v>235</v>
      </c>
      <c r="H108" s="124">
        <v>390</v>
      </c>
      <c r="I108" s="123" t="s">
        <v>217</v>
      </c>
      <c r="J108" s="123" t="s">
        <v>779</v>
      </c>
      <c r="K108" s="6"/>
    </row>
    <row r="109" spans="1:11" ht="13.5" thickBot="1">
      <c r="A109" s="73" t="s">
        <v>386</v>
      </c>
      <c r="B109" s="76" t="s">
        <v>102</v>
      </c>
      <c r="C109" s="82">
        <v>1100</v>
      </c>
      <c r="D109" s="76"/>
      <c r="G109" s="123" t="s">
        <v>236</v>
      </c>
      <c r="H109" s="124">
        <v>1100</v>
      </c>
      <c r="I109" s="123" t="s">
        <v>217</v>
      </c>
      <c r="J109" s="123"/>
      <c r="K109"/>
    </row>
    <row r="110" spans="1:11" ht="13.5" thickBot="1">
      <c r="A110" s="73" t="s">
        <v>1186</v>
      </c>
      <c r="B110" s="123" t="s">
        <v>1185</v>
      </c>
      <c r="C110" s="124">
        <v>450</v>
      </c>
      <c r="D110" s="76"/>
      <c r="G110" s="123" t="s">
        <v>1180</v>
      </c>
      <c r="H110" s="124">
        <v>450</v>
      </c>
      <c r="I110" s="123"/>
      <c r="J110" s="123"/>
      <c r="K110"/>
    </row>
    <row r="111" spans="1:11" ht="13.5" thickBot="1">
      <c r="A111" s="73" t="s">
        <v>413</v>
      </c>
      <c r="B111" s="84" t="s">
        <v>237</v>
      </c>
      <c r="C111" s="77"/>
      <c r="D111" s="76"/>
      <c r="G111" s="130" t="s">
        <v>237</v>
      </c>
      <c r="H111" s="123"/>
      <c r="I111" s="123"/>
      <c r="J111" s="123"/>
      <c r="K111"/>
    </row>
    <row r="112" spans="1:11" ht="13.5" thickBot="1">
      <c r="A112" s="73" t="s">
        <v>366</v>
      </c>
      <c r="B112" s="76" t="s">
        <v>420</v>
      </c>
      <c r="C112" s="82">
        <v>269</v>
      </c>
      <c r="D112" s="76" t="s">
        <v>217</v>
      </c>
      <c r="G112" s="123" t="s">
        <v>238</v>
      </c>
      <c r="H112" s="124">
        <v>269</v>
      </c>
      <c r="I112" s="123" t="s">
        <v>217</v>
      </c>
      <c r="J112" s="123" t="s">
        <v>779</v>
      </c>
      <c r="K112"/>
    </row>
    <row r="113" spans="1:11" ht="13.5" thickBot="1">
      <c r="A113" s="73" t="s">
        <v>367</v>
      </c>
      <c r="B113" s="76" t="s">
        <v>421</v>
      </c>
      <c r="C113" s="77">
        <v>390</v>
      </c>
      <c r="D113" s="76" t="s">
        <v>217</v>
      </c>
      <c r="G113" s="123" t="s">
        <v>239</v>
      </c>
      <c r="H113" s="124">
        <v>390</v>
      </c>
      <c r="I113" s="123" t="s">
        <v>217</v>
      </c>
      <c r="J113" s="123" t="s">
        <v>779</v>
      </c>
      <c r="K113"/>
    </row>
    <row r="114" spans="1:11" ht="13.5" thickBot="1">
      <c r="A114" s="73" t="s">
        <v>368</v>
      </c>
      <c r="B114" s="76" t="s">
        <v>103</v>
      </c>
      <c r="C114" s="82">
        <v>390</v>
      </c>
      <c r="D114" s="76" t="s">
        <v>217</v>
      </c>
      <c r="G114" s="123" t="s">
        <v>912</v>
      </c>
      <c r="H114" s="124">
        <v>390</v>
      </c>
      <c r="I114" s="123" t="s">
        <v>217</v>
      </c>
      <c r="J114" s="123" t="s">
        <v>779</v>
      </c>
      <c r="K114"/>
    </row>
    <row r="115" spans="1:11" ht="13.5" thickBot="1">
      <c r="A115" s="73" t="s">
        <v>369</v>
      </c>
      <c r="B115" s="76" t="s">
        <v>104</v>
      </c>
      <c r="C115" s="77"/>
      <c r="D115" s="76"/>
      <c r="G115" s="123" t="s">
        <v>240</v>
      </c>
      <c r="H115" s="123"/>
      <c r="I115" s="123"/>
      <c r="J115" s="123"/>
      <c r="K115" s="6"/>
    </row>
    <row r="116" spans="1:11" ht="13.5" thickBot="1">
      <c r="A116" s="73" t="s">
        <v>370</v>
      </c>
      <c r="B116" s="76" t="s">
        <v>105</v>
      </c>
      <c r="C116" s="82">
        <v>950</v>
      </c>
      <c r="D116" s="76" t="s">
        <v>217</v>
      </c>
      <c r="G116" s="123" t="s">
        <v>241</v>
      </c>
      <c r="H116" s="124">
        <v>950</v>
      </c>
      <c r="I116" s="123" t="s">
        <v>217</v>
      </c>
      <c r="J116" s="123"/>
      <c r="K116"/>
    </row>
    <row r="117" spans="1:11" ht="13.5" thickBot="1">
      <c r="A117" s="73" t="s">
        <v>371</v>
      </c>
      <c r="B117" s="76" t="s">
        <v>106</v>
      </c>
      <c r="C117" s="82">
        <v>650</v>
      </c>
      <c r="D117" s="76" t="s">
        <v>217</v>
      </c>
      <c r="G117" s="123" t="s">
        <v>242</v>
      </c>
      <c r="H117" s="124">
        <v>650</v>
      </c>
      <c r="I117" s="123" t="s">
        <v>217</v>
      </c>
      <c r="J117" s="123" t="s">
        <v>779</v>
      </c>
      <c r="K117"/>
    </row>
    <row r="118" spans="1:11" ht="13.5" thickBot="1">
      <c r="A118" s="73" t="s">
        <v>915</v>
      </c>
      <c r="B118" s="32" t="s">
        <v>914</v>
      </c>
      <c r="C118" s="82">
        <v>1200</v>
      </c>
      <c r="D118" s="76"/>
      <c r="G118" s="123" t="s">
        <v>913</v>
      </c>
      <c r="H118" s="124">
        <v>1200</v>
      </c>
      <c r="I118" s="123"/>
      <c r="J118" s="123"/>
      <c r="K118"/>
    </row>
    <row r="119" spans="1:11" ht="13.5" thickBot="1">
      <c r="A119" s="73" t="s">
        <v>413</v>
      </c>
      <c r="B119" s="79" t="s">
        <v>243</v>
      </c>
      <c r="C119" s="77"/>
      <c r="D119" s="76"/>
      <c r="G119" s="126" t="s">
        <v>243</v>
      </c>
      <c r="H119" s="123"/>
      <c r="I119" s="123"/>
      <c r="J119" s="123"/>
      <c r="K119"/>
    </row>
    <row r="120" spans="1:11" ht="13.5" thickBot="1">
      <c r="A120" s="73" t="s">
        <v>372</v>
      </c>
      <c r="B120" s="76" t="s">
        <v>107</v>
      </c>
      <c r="C120" s="77">
        <v>750</v>
      </c>
      <c r="D120" s="76" t="s">
        <v>217</v>
      </c>
      <c r="G120" s="123" t="s">
        <v>244</v>
      </c>
      <c r="H120" s="124">
        <v>750</v>
      </c>
      <c r="I120" s="123" t="s">
        <v>217</v>
      </c>
      <c r="J120" s="123"/>
      <c r="K120" s="6"/>
    </row>
    <row r="121" spans="1:11" ht="13.5" thickBot="1">
      <c r="A121" s="73" t="s">
        <v>373</v>
      </c>
      <c r="B121" s="76" t="s">
        <v>108</v>
      </c>
      <c r="C121" s="77">
        <v>420</v>
      </c>
      <c r="D121" s="76" t="s">
        <v>217</v>
      </c>
      <c r="G121" s="123" t="s">
        <v>245</v>
      </c>
      <c r="H121" s="124">
        <v>420</v>
      </c>
      <c r="I121" s="123" t="s">
        <v>217</v>
      </c>
      <c r="J121" s="123"/>
      <c r="K121"/>
    </row>
    <row r="122" spans="1:11" ht="13.5" thickBot="1">
      <c r="A122" s="73" t="s">
        <v>374</v>
      </c>
      <c r="B122" s="76" t="s">
        <v>109</v>
      </c>
      <c r="C122" s="77">
        <v>550</v>
      </c>
      <c r="D122" s="76" t="s">
        <v>217</v>
      </c>
      <c r="G122" s="123" t="s">
        <v>246</v>
      </c>
      <c r="H122" s="124">
        <v>550</v>
      </c>
      <c r="I122" s="123" t="s">
        <v>217</v>
      </c>
      <c r="J122" s="123"/>
      <c r="K122"/>
    </row>
    <row r="123" spans="1:11" ht="13.5" thickBot="1">
      <c r="A123" s="73" t="s">
        <v>375</v>
      </c>
      <c r="B123" s="76" t="s">
        <v>110</v>
      </c>
      <c r="C123" s="77">
        <v>550</v>
      </c>
      <c r="D123" s="76" t="s">
        <v>217</v>
      </c>
      <c r="G123" s="123" t="s">
        <v>247</v>
      </c>
      <c r="H123" s="124">
        <v>550</v>
      </c>
      <c r="I123" s="123" t="s">
        <v>217</v>
      </c>
      <c r="J123" s="123"/>
      <c r="K123"/>
    </row>
    <row r="124" spans="1:11" ht="13.5" thickBot="1">
      <c r="A124" s="73" t="s">
        <v>413</v>
      </c>
      <c r="B124" s="85" t="s">
        <v>248</v>
      </c>
      <c r="C124" s="77"/>
      <c r="D124" s="76"/>
      <c r="G124" s="131" t="s">
        <v>248</v>
      </c>
      <c r="H124" s="123"/>
      <c r="I124" s="123"/>
      <c r="J124" s="123"/>
      <c r="K124" s="6"/>
    </row>
    <row r="125" spans="1:11" ht="13.5" thickBot="1">
      <c r="A125" s="73" t="s">
        <v>376</v>
      </c>
      <c r="B125" s="76" t="s">
        <v>111</v>
      </c>
      <c r="C125" s="77">
        <v>350</v>
      </c>
      <c r="D125" s="76" t="s">
        <v>217</v>
      </c>
      <c r="G125" s="123" t="s">
        <v>249</v>
      </c>
      <c r="H125" s="124">
        <v>350</v>
      </c>
      <c r="I125" s="123" t="s">
        <v>217</v>
      </c>
      <c r="J125" s="123"/>
      <c r="K125"/>
    </row>
    <row r="126" spans="1:11" ht="13.5" thickBot="1">
      <c r="A126" s="73" t="s">
        <v>377</v>
      </c>
      <c r="B126" s="76" t="s">
        <v>112</v>
      </c>
      <c r="C126" s="77">
        <v>370</v>
      </c>
      <c r="D126" s="76" t="s">
        <v>8</v>
      </c>
      <c r="G126" s="123" t="s">
        <v>250</v>
      </c>
      <c r="H126" s="124">
        <v>370</v>
      </c>
      <c r="I126" s="123" t="s">
        <v>8</v>
      </c>
      <c r="J126" s="123"/>
      <c r="K126"/>
    </row>
    <row r="127" spans="1:11" ht="13.5" thickBot="1">
      <c r="A127" s="73" t="s">
        <v>378</v>
      </c>
      <c r="B127" s="76" t="s">
        <v>113</v>
      </c>
      <c r="C127" s="77">
        <v>290</v>
      </c>
      <c r="D127" s="76" t="s">
        <v>8</v>
      </c>
      <c r="G127" s="123" t="s">
        <v>251</v>
      </c>
      <c r="H127" s="124">
        <v>290</v>
      </c>
      <c r="I127" s="123" t="s">
        <v>8</v>
      </c>
      <c r="J127" s="123"/>
      <c r="K127"/>
    </row>
    <row r="128" spans="1:11" ht="13.5" thickBot="1">
      <c r="A128" s="73" t="s">
        <v>413</v>
      </c>
      <c r="B128" s="86" t="s">
        <v>252</v>
      </c>
      <c r="C128" s="77"/>
      <c r="D128" s="76"/>
      <c r="G128" s="132" t="s">
        <v>252</v>
      </c>
      <c r="H128" s="123"/>
      <c r="I128" s="123"/>
      <c r="J128" s="123"/>
      <c r="K128"/>
    </row>
    <row r="129" spans="1:11" ht="13.5" thickBot="1">
      <c r="A129" s="73" t="s">
        <v>379</v>
      </c>
      <c r="B129" s="76" t="s">
        <v>114</v>
      </c>
      <c r="C129" s="77">
        <v>450</v>
      </c>
      <c r="D129" s="76" t="s">
        <v>8</v>
      </c>
      <c r="G129" s="123" t="s">
        <v>253</v>
      </c>
      <c r="H129" s="124">
        <v>450</v>
      </c>
      <c r="I129" s="123" t="s">
        <v>8</v>
      </c>
      <c r="J129" s="123" t="s">
        <v>779</v>
      </c>
      <c r="K129"/>
    </row>
    <row r="130" spans="1:11" ht="13.5" thickBot="1">
      <c r="A130" s="73" t="s">
        <v>380</v>
      </c>
      <c r="B130" s="76" t="s">
        <v>115</v>
      </c>
      <c r="C130" s="77">
        <v>0</v>
      </c>
      <c r="D130" s="76"/>
      <c r="G130" s="123" t="s">
        <v>254</v>
      </c>
      <c r="H130" s="124">
        <v>0</v>
      </c>
      <c r="I130" s="123"/>
      <c r="J130" s="123"/>
      <c r="K130" s="6"/>
    </row>
    <row r="131" spans="1:11" ht="13.5" thickBot="1">
      <c r="A131" s="73" t="s">
        <v>381</v>
      </c>
      <c r="B131" s="76" t="s">
        <v>116</v>
      </c>
      <c r="C131" s="77">
        <v>450</v>
      </c>
      <c r="D131" s="76" t="s">
        <v>117</v>
      </c>
      <c r="G131" s="123" t="s">
        <v>255</v>
      </c>
      <c r="H131" s="124">
        <v>450</v>
      </c>
      <c r="I131" s="123" t="s">
        <v>117</v>
      </c>
      <c r="J131" s="123"/>
      <c r="K131"/>
    </row>
    <row r="132" spans="1:11" ht="13.5" thickBot="1">
      <c r="A132" s="73" t="s">
        <v>382</v>
      </c>
      <c r="B132" s="76" t="s">
        <v>118</v>
      </c>
      <c r="C132" s="77">
        <v>380</v>
      </c>
      <c r="D132" s="76" t="s">
        <v>119</v>
      </c>
      <c r="G132" s="123" t="s">
        <v>256</v>
      </c>
      <c r="H132" s="124">
        <v>380</v>
      </c>
      <c r="I132" s="123" t="s">
        <v>119</v>
      </c>
      <c r="J132" s="123"/>
      <c r="K132"/>
    </row>
    <row r="133" spans="1:11" ht="13.5" thickBot="1">
      <c r="A133" s="73" t="s">
        <v>383</v>
      </c>
      <c r="B133" s="76" t="s">
        <v>120</v>
      </c>
      <c r="C133" s="77">
        <v>190</v>
      </c>
      <c r="D133" s="76" t="s">
        <v>1</v>
      </c>
      <c r="G133" s="123" t="s">
        <v>257</v>
      </c>
      <c r="H133" s="124">
        <v>190</v>
      </c>
      <c r="I133" s="123" t="s">
        <v>1</v>
      </c>
      <c r="J133" s="123"/>
      <c r="K133"/>
    </row>
    <row r="134" spans="1:11" ht="13.5" thickBot="1">
      <c r="A134" s="73" t="s">
        <v>413</v>
      </c>
      <c r="B134" s="87" t="s">
        <v>258</v>
      </c>
      <c r="C134" s="77"/>
      <c r="D134" s="76"/>
      <c r="G134" s="133" t="s">
        <v>258</v>
      </c>
      <c r="H134" s="123"/>
      <c r="I134" s="123"/>
      <c r="J134" s="123"/>
      <c r="K134"/>
    </row>
    <row r="135" spans="1:11" ht="13.5" thickBot="1">
      <c r="A135" s="73" t="s">
        <v>387</v>
      </c>
      <c r="B135" s="76" t="s">
        <v>121</v>
      </c>
      <c r="C135" s="82">
        <v>450</v>
      </c>
      <c r="D135" s="76" t="s">
        <v>1</v>
      </c>
      <c r="G135" s="123" t="s">
        <v>777</v>
      </c>
      <c r="H135" s="124">
        <v>450</v>
      </c>
      <c r="I135" s="123" t="s">
        <v>1</v>
      </c>
      <c r="J135" s="123"/>
      <c r="K135"/>
    </row>
    <row r="136" spans="1:11" ht="13.5" thickBot="1">
      <c r="A136" s="73" t="s">
        <v>388</v>
      </c>
      <c r="B136" s="76" t="s">
        <v>122</v>
      </c>
      <c r="C136" s="82">
        <v>420</v>
      </c>
      <c r="D136" s="76" t="s">
        <v>1</v>
      </c>
      <c r="G136" s="123" t="s">
        <v>778</v>
      </c>
      <c r="H136" s="124">
        <v>420</v>
      </c>
      <c r="I136" s="123" t="s">
        <v>1</v>
      </c>
      <c r="J136" s="123" t="s">
        <v>779</v>
      </c>
      <c r="K136"/>
    </row>
    <row r="137" spans="1:11" ht="13.5" thickBot="1">
      <c r="A137" s="73" t="s">
        <v>389</v>
      </c>
      <c r="B137" s="76" t="s">
        <v>123</v>
      </c>
      <c r="C137" s="82">
        <v>450</v>
      </c>
      <c r="D137" s="76" t="s">
        <v>1</v>
      </c>
      <c r="G137" s="123" t="s">
        <v>780</v>
      </c>
      <c r="H137" s="124">
        <v>450</v>
      </c>
      <c r="I137" s="123" t="s">
        <v>1</v>
      </c>
      <c r="J137" s="123"/>
      <c r="K137"/>
    </row>
    <row r="138" spans="1:11" ht="13.5" thickBot="1">
      <c r="A138" s="73" t="s">
        <v>390</v>
      </c>
      <c r="B138" s="76" t="s">
        <v>124</v>
      </c>
      <c r="C138" s="82">
        <v>490</v>
      </c>
      <c r="D138" s="76" t="s">
        <v>173</v>
      </c>
      <c r="G138" s="123" t="s">
        <v>781</v>
      </c>
      <c r="H138" s="124">
        <v>490</v>
      </c>
      <c r="I138" s="123" t="s">
        <v>173</v>
      </c>
      <c r="J138" s="123" t="s">
        <v>779</v>
      </c>
      <c r="K138" s="6"/>
    </row>
    <row r="139" spans="1:11" ht="13.5" thickBot="1">
      <c r="A139" s="73" t="s">
        <v>391</v>
      </c>
      <c r="B139" s="76" t="s">
        <v>125</v>
      </c>
      <c r="C139" s="82">
        <v>550</v>
      </c>
      <c r="D139" s="76" t="s">
        <v>1</v>
      </c>
      <c r="G139" s="123" t="s">
        <v>782</v>
      </c>
      <c r="H139" s="124">
        <v>550</v>
      </c>
      <c r="I139" s="123" t="s">
        <v>1</v>
      </c>
      <c r="J139" s="123"/>
      <c r="K139"/>
    </row>
    <row r="140" spans="1:11" ht="13.5" thickBot="1">
      <c r="A140" s="73" t="s">
        <v>392</v>
      </c>
      <c r="B140" s="76" t="s">
        <v>126</v>
      </c>
      <c r="C140" s="77">
        <v>550</v>
      </c>
      <c r="D140" s="76" t="s">
        <v>1</v>
      </c>
      <c r="G140" s="123" t="s">
        <v>783</v>
      </c>
      <c r="H140" s="124">
        <v>550</v>
      </c>
      <c r="I140" s="123" t="s">
        <v>1</v>
      </c>
      <c r="J140" s="123" t="s">
        <v>779</v>
      </c>
      <c r="K140"/>
    </row>
    <row r="141" spans="1:11" ht="13.5" thickBot="1">
      <c r="A141" s="73" t="s">
        <v>393</v>
      </c>
      <c r="B141" s="76" t="s">
        <v>127</v>
      </c>
      <c r="C141" s="82">
        <v>450</v>
      </c>
      <c r="D141" s="76" t="s">
        <v>1</v>
      </c>
      <c r="G141" s="123" t="s">
        <v>784</v>
      </c>
      <c r="H141" s="124">
        <v>450</v>
      </c>
      <c r="I141" s="123" t="s">
        <v>1</v>
      </c>
      <c r="J141" s="123" t="s">
        <v>779</v>
      </c>
      <c r="K141" s="6"/>
    </row>
    <row r="142" spans="1:11" ht="13.5" thickBot="1">
      <c r="A142" s="73" t="s">
        <v>413</v>
      </c>
      <c r="B142" s="88" t="s">
        <v>259</v>
      </c>
      <c r="C142" s="77"/>
      <c r="D142" s="76"/>
      <c r="G142" s="134" t="s">
        <v>259</v>
      </c>
      <c r="H142" s="123"/>
      <c r="I142" s="123"/>
      <c r="J142" s="123"/>
      <c r="K142"/>
    </row>
    <row r="143" spans="1:11" ht="13.5" thickBot="1">
      <c r="A143" s="73" t="s">
        <v>394</v>
      </c>
      <c r="B143" s="76" t="s">
        <v>128</v>
      </c>
      <c r="C143" s="82">
        <v>900</v>
      </c>
      <c r="D143" s="76" t="s">
        <v>8</v>
      </c>
      <c r="G143" s="123" t="s">
        <v>785</v>
      </c>
      <c r="H143" s="124">
        <v>900</v>
      </c>
      <c r="I143" s="123" t="s">
        <v>8</v>
      </c>
      <c r="J143" s="123" t="s">
        <v>779</v>
      </c>
      <c r="K143"/>
    </row>
    <row r="144" spans="1:11" ht="13.5" thickBot="1">
      <c r="A144" s="73" t="s">
        <v>395</v>
      </c>
      <c r="B144" s="76" t="s">
        <v>129</v>
      </c>
      <c r="C144" s="82">
        <v>950</v>
      </c>
      <c r="D144" s="76" t="s">
        <v>8</v>
      </c>
      <c r="G144" s="123" t="s">
        <v>786</v>
      </c>
      <c r="H144" s="124">
        <v>950</v>
      </c>
      <c r="I144" s="123" t="s">
        <v>8</v>
      </c>
      <c r="J144" s="123"/>
      <c r="K144"/>
    </row>
    <row r="145" spans="1:11" ht="13.5" thickBot="1">
      <c r="A145" s="73" t="s">
        <v>413</v>
      </c>
      <c r="B145" s="80" t="s">
        <v>260</v>
      </c>
      <c r="C145" s="77"/>
      <c r="D145" s="76"/>
      <c r="G145" s="127" t="s">
        <v>260</v>
      </c>
      <c r="H145" s="123"/>
      <c r="I145" s="123"/>
      <c r="J145" s="123"/>
      <c r="K145"/>
    </row>
    <row r="146" spans="1:11" ht="13.5" thickBot="1">
      <c r="A146" s="73" t="s">
        <v>396</v>
      </c>
      <c r="B146" s="76" t="s">
        <v>130</v>
      </c>
      <c r="C146" s="82">
        <v>70</v>
      </c>
      <c r="D146" s="76" t="s">
        <v>131</v>
      </c>
      <c r="G146" s="123" t="s">
        <v>787</v>
      </c>
      <c r="H146" s="124">
        <v>70</v>
      </c>
      <c r="I146" s="123" t="s">
        <v>131</v>
      </c>
      <c r="J146" s="123" t="s">
        <v>779</v>
      </c>
      <c r="K146"/>
    </row>
    <row r="147" spans="1:11" ht="13.5" thickBot="1">
      <c r="A147" s="73" t="s">
        <v>397</v>
      </c>
      <c r="B147" s="76" t="s">
        <v>132</v>
      </c>
      <c r="C147" s="82">
        <v>99</v>
      </c>
      <c r="D147" s="76" t="s">
        <v>133</v>
      </c>
      <c r="G147" s="123" t="s">
        <v>788</v>
      </c>
      <c r="H147" s="124">
        <v>99</v>
      </c>
      <c r="I147" s="123" t="s">
        <v>133</v>
      </c>
      <c r="J147" s="123"/>
      <c r="K147"/>
    </row>
    <row r="148" spans="1:11" ht="13.5" thickBot="1">
      <c r="A148" s="73" t="s">
        <v>398</v>
      </c>
      <c r="B148" s="76" t="s">
        <v>134</v>
      </c>
      <c r="C148" s="82">
        <v>120</v>
      </c>
      <c r="D148" s="76" t="s">
        <v>135</v>
      </c>
      <c r="G148" s="123" t="s">
        <v>789</v>
      </c>
      <c r="H148" s="124">
        <v>120</v>
      </c>
      <c r="I148" s="123" t="s">
        <v>135</v>
      </c>
      <c r="J148" s="123" t="s">
        <v>779</v>
      </c>
      <c r="K148"/>
    </row>
    <row r="149" spans="1:11" ht="13.5" thickBot="1">
      <c r="A149" s="73" t="s">
        <v>399</v>
      </c>
      <c r="B149" s="76" t="s">
        <v>136</v>
      </c>
      <c r="C149" s="82">
        <v>100</v>
      </c>
      <c r="D149" s="76" t="s">
        <v>9</v>
      </c>
      <c r="G149" s="123" t="s">
        <v>790</v>
      </c>
      <c r="H149" s="124">
        <v>100</v>
      </c>
      <c r="I149" s="123" t="s">
        <v>9</v>
      </c>
      <c r="J149" s="123" t="s">
        <v>779</v>
      </c>
      <c r="K149"/>
    </row>
    <row r="150" spans="1:11" ht="13.5" thickBot="1">
      <c r="A150" s="73" t="s">
        <v>400</v>
      </c>
      <c r="B150" s="76" t="s">
        <v>137</v>
      </c>
      <c r="C150" s="82">
        <v>99</v>
      </c>
      <c r="D150" s="76" t="s">
        <v>10</v>
      </c>
      <c r="G150" s="123" t="s">
        <v>791</v>
      </c>
      <c r="H150" s="124">
        <v>99</v>
      </c>
      <c r="I150" s="123" t="s">
        <v>10</v>
      </c>
      <c r="J150" s="123" t="s">
        <v>779</v>
      </c>
      <c r="K150"/>
    </row>
    <row r="151" spans="1:11" ht="13.5" thickBot="1">
      <c r="A151" s="73" t="s">
        <v>401</v>
      </c>
      <c r="B151" s="76" t="s">
        <v>138</v>
      </c>
      <c r="C151" s="82">
        <v>129</v>
      </c>
      <c r="D151" s="76" t="s">
        <v>10</v>
      </c>
      <c r="G151" s="123" t="s">
        <v>792</v>
      </c>
      <c r="H151" s="124">
        <v>129</v>
      </c>
      <c r="I151" s="123" t="s">
        <v>10</v>
      </c>
      <c r="J151" s="123"/>
      <c r="K151"/>
    </row>
    <row r="152" spans="1:11" ht="13.5" thickBot="1">
      <c r="A152" s="73" t="s">
        <v>402</v>
      </c>
      <c r="B152" s="76" t="s">
        <v>139</v>
      </c>
      <c r="C152" s="82">
        <v>150</v>
      </c>
      <c r="D152" s="76"/>
      <c r="G152" s="123" t="s">
        <v>793</v>
      </c>
      <c r="H152" s="124">
        <v>150</v>
      </c>
      <c r="I152" s="123"/>
      <c r="J152" s="123" t="s">
        <v>779</v>
      </c>
      <c r="K152"/>
    </row>
    <row r="153" spans="1:11" ht="13.5" thickBot="1">
      <c r="A153" s="73" t="s">
        <v>403</v>
      </c>
      <c r="B153" s="76" t="s">
        <v>140</v>
      </c>
      <c r="C153" s="82">
        <v>250</v>
      </c>
      <c r="D153" s="76" t="s">
        <v>141</v>
      </c>
      <c r="G153" s="123" t="s">
        <v>794</v>
      </c>
      <c r="H153" s="124">
        <v>250</v>
      </c>
      <c r="I153" s="123" t="s">
        <v>141</v>
      </c>
      <c r="J153" s="123" t="s">
        <v>795</v>
      </c>
      <c r="K153" s="6"/>
    </row>
    <row r="154" spans="1:11" ht="13.5" thickBot="1">
      <c r="A154" s="73" t="s">
        <v>404</v>
      </c>
      <c r="B154" s="76" t="s">
        <v>142</v>
      </c>
      <c r="C154" s="77">
        <v>250</v>
      </c>
      <c r="D154" s="76" t="s">
        <v>9</v>
      </c>
      <c r="G154" s="123" t="s">
        <v>796</v>
      </c>
      <c r="H154" s="124">
        <v>250</v>
      </c>
      <c r="I154" s="123" t="s">
        <v>9</v>
      </c>
      <c r="J154" s="123" t="s">
        <v>779</v>
      </c>
      <c r="K154"/>
    </row>
    <row r="155" spans="1:11" ht="13.5" thickBot="1">
      <c r="A155" s="73" t="s">
        <v>405</v>
      </c>
      <c r="B155" s="76" t="s">
        <v>143</v>
      </c>
      <c r="C155" s="82"/>
      <c r="D155" s="76" t="s">
        <v>11</v>
      </c>
      <c r="G155" s="123" t="s">
        <v>797</v>
      </c>
      <c r="H155" s="123"/>
      <c r="I155" s="123" t="s">
        <v>11</v>
      </c>
      <c r="J155" s="123" t="s">
        <v>779</v>
      </c>
      <c r="K155"/>
    </row>
    <row r="156" spans="1:11" ht="13.5" thickBot="1">
      <c r="A156" s="73" t="s">
        <v>406</v>
      </c>
      <c r="B156" s="76" t="s">
        <v>144</v>
      </c>
      <c r="C156" s="82">
        <v>139</v>
      </c>
      <c r="D156" s="76" t="s">
        <v>11</v>
      </c>
      <c r="G156" s="123" t="s">
        <v>798</v>
      </c>
      <c r="H156" s="124">
        <v>139</v>
      </c>
      <c r="I156" s="123" t="s">
        <v>799</v>
      </c>
      <c r="J156" s="123" t="s">
        <v>779</v>
      </c>
      <c r="K156"/>
    </row>
    <row r="157" spans="1:11" ht="26.5" thickBot="1">
      <c r="A157" s="73" t="s">
        <v>413</v>
      </c>
      <c r="B157" s="89" t="s">
        <v>422</v>
      </c>
      <c r="C157" s="82"/>
      <c r="D157" s="76"/>
      <c r="G157" s="135" t="s">
        <v>800</v>
      </c>
      <c r="H157" s="136" t="s">
        <v>779</v>
      </c>
      <c r="I157" s="123"/>
      <c r="J157" s="123"/>
      <c r="K157"/>
    </row>
    <row r="158" spans="1:11" ht="13.5" thickBot="1">
      <c r="A158" s="73" t="s">
        <v>407</v>
      </c>
      <c r="B158" s="76" t="s">
        <v>423</v>
      </c>
      <c r="C158" s="77"/>
      <c r="D158" s="76"/>
      <c r="G158" s="123" t="s">
        <v>801</v>
      </c>
      <c r="H158" s="123"/>
      <c r="I158" s="123"/>
      <c r="J158" s="123"/>
      <c r="K158"/>
    </row>
    <row r="159" spans="1:11" ht="13.5" thickBot="1">
      <c r="A159" s="73" t="s">
        <v>408</v>
      </c>
      <c r="B159" s="76" t="s">
        <v>424</v>
      </c>
      <c r="C159" s="77"/>
      <c r="D159" s="76"/>
      <c r="G159" s="123" t="s">
        <v>802</v>
      </c>
      <c r="H159" s="123"/>
      <c r="I159" s="123"/>
      <c r="J159" s="123"/>
      <c r="K159"/>
    </row>
    <row r="160" spans="1:11" ht="13.5" thickBot="1">
      <c r="A160" s="73" t="s">
        <v>409</v>
      </c>
      <c r="B160" s="76" t="s">
        <v>425</v>
      </c>
      <c r="C160" s="77"/>
      <c r="D160" s="76"/>
      <c r="G160" s="123" t="s">
        <v>803</v>
      </c>
      <c r="H160" s="123"/>
      <c r="I160" s="123"/>
      <c r="J160" s="123"/>
      <c r="K160" s="6"/>
    </row>
    <row r="161" spans="1:11" ht="15.75" customHeight="1" thickBot="1">
      <c r="A161" s="73" t="s">
        <v>410</v>
      </c>
      <c r="B161" s="76" t="s">
        <v>426</v>
      </c>
      <c r="C161" s="77"/>
      <c r="D161" s="76"/>
      <c r="G161" s="123" t="s">
        <v>804</v>
      </c>
      <c r="H161" s="123"/>
      <c r="I161" s="123"/>
      <c r="J161" s="123"/>
      <c r="K161"/>
    </row>
    <row r="162" spans="1:11" ht="15.75" customHeight="1" thickBot="1">
      <c r="A162" s="73" t="s">
        <v>411</v>
      </c>
      <c r="B162" s="76" t="s">
        <v>427</v>
      </c>
      <c r="C162" s="77"/>
      <c r="D162" s="76"/>
      <c r="G162" s="123" t="s">
        <v>805</v>
      </c>
      <c r="H162" s="123"/>
      <c r="I162" s="123"/>
      <c r="J162" s="123"/>
      <c r="K162"/>
    </row>
    <row r="163" spans="1:11" ht="15.75" customHeight="1" thickBot="1">
      <c r="A163" s="73" t="s">
        <v>412</v>
      </c>
      <c r="B163" s="76" t="s">
        <v>428</v>
      </c>
      <c r="C163" s="77"/>
      <c r="D163" s="76"/>
      <c r="G163" s="123" t="s">
        <v>806</v>
      </c>
      <c r="H163" s="123"/>
      <c r="I163" s="123"/>
      <c r="J163" s="123"/>
      <c r="K163"/>
    </row>
    <row r="164" spans="1:11" ht="15.5" customHeight="1" thickBot="1">
      <c r="A164" s="73" t="s">
        <v>413</v>
      </c>
      <c r="B164" s="90" t="s">
        <v>429</v>
      </c>
      <c r="C164" s="77"/>
      <c r="D164" s="76"/>
      <c r="G164" s="137" t="s">
        <v>807</v>
      </c>
      <c r="H164" s="123"/>
      <c r="I164" s="123"/>
      <c r="J164" s="123"/>
      <c r="K164"/>
    </row>
    <row r="165" spans="1:11" ht="15.5" customHeight="1" thickBot="1">
      <c r="A165" s="73" t="s">
        <v>414</v>
      </c>
      <c r="B165" s="76" t="s">
        <v>430</v>
      </c>
      <c r="C165" s="82">
        <v>380</v>
      </c>
      <c r="D165" s="76"/>
      <c r="G165" s="123" t="s">
        <v>808</v>
      </c>
      <c r="H165" s="124">
        <v>380</v>
      </c>
      <c r="I165" s="123"/>
      <c r="J165" s="123"/>
    </row>
    <row r="166" spans="1:11" ht="15.75" customHeight="1" thickBot="1">
      <c r="A166" s="73" t="s">
        <v>415</v>
      </c>
      <c r="B166" s="76" t="s">
        <v>431</v>
      </c>
      <c r="C166" s="82">
        <v>380</v>
      </c>
      <c r="D166" s="76"/>
      <c r="G166" s="123" t="s">
        <v>809</v>
      </c>
      <c r="H166" s="124">
        <v>380</v>
      </c>
      <c r="I166" s="123"/>
      <c r="J166" s="123"/>
    </row>
    <row r="167" spans="1:11" ht="15.75" customHeight="1" thickBot="1">
      <c r="A167" s="73" t="s">
        <v>416</v>
      </c>
      <c r="B167" s="76" t="s">
        <v>432</v>
      </c>
      <c r="C167" s="82">
        <v>430</v>
      </c>
      <c r="D167" s="76"/>
      <c r="G167" s="123" t="s">
        <v>810</v>
      </c>
      <c r="H167" s="124">
        <v>430</v>
      </c>
      <c r="I167" s="123"/>
      <c r="J167" s="123"/>
    </row>
    <row r="168" spans="1:11" ht="15.75" customHeight="1" thickBot="1">
      <c r="A168" s="73" t="s">
        <v>417</v>
      </c>
      <c r="B168" s="76" t="s">
        <v>433</v>
      </c>
      <c r="C168" s="77">
        <v>430</v>
      </c>
      <c r="D168" s="76"/>
      <c r="G168" s="123" t="s">
        <v>811</v>
      </c>
      <c r="H168" s="124">
        <v>430</v>
      </c>
      <c r="I168" s="123"/>
      <c r="J168" s="123"/>
    </row>
    <row r="169" spans="1:11" ht="15.75" customHeight="1" thickBot="1">
      <c r="A169" s="30" t="s">
        <v>413</v>
      </c>
      <c r="B169" s="91" t="s">
        <v>812</v>
      </c>
      <c r="C169" s="31"/>
      <c r="D169" s="76"/>
      <c r="G169" s="126" t="s">
        <v>812</v>
      </c>
      <c r="H169" s="123"/>
      <c r="I169" s="123"/>
      <c r="J169" s="123"/>
    </row>
    <row r="170" spans="1:11" ht="15.75" customHeight="1" thickBot="1">
      <c r="A170" s="30" t="s">
        <v>836</v>
      </c>
      <c r="B170" s="32" t="s">
        <v>813</v>
      </c>
      <c r="C170" s="82">
        <v>700</v>
      </c>
      <c r="D170" s="30"/>
      <c r="G170" s="123" t="s">
        <v>813</v>
      </c>
      <c r="H170" s="124">
        <v>700</v>
      </c>
      <c r="I170" s="124">
        <v>2</v>
      </c>
      <c r="J170" s="123"/>
    </row>
    <row r="171" spans="1:11" ht="15.75" customHeight="1" thickBot="1">
      <c r="A171" s="30" t="s">
        <v>837</v>
      </c>
      <c r="B171" s="32" t="s">
        <v>814</v>
      </c>
      <c r="C171" s="82">
        <v>350</v>
      </c>
      <c r="D171" s="30"/>
      <c r="G171" s="123" t="s">
        <v>814</v>
      </c>
      <c r="H171" s="124" t="s">
        <v>815</v>
      </c>
      <c r="I171" s="123"/>
      <c r="J171" s="123"/>
    </row>
    <row r="172" spans="1:11" ht="15.75" customHeight="1" thickBot="1">
      <c r="A172" s="30" t="s">
        <v>838</v>
      </c>
      <c r="B172" s="32" t="s">
        <v>816</v>
      </c>
      <c r="C172" s="82">
        <v>390</v>
      </c>
      <c r="D172" s="30"/>
      <c r="G172" s="123" t="s">
        <v>816</v>
      </c>
      <c r="H172" s="124">
        <v>390</v>
      </c>
      <c r="I172" s="124">
        <v>3</v>
      </c>
      <c r="J172" s="123"/>
    </row>
    <row r="173" spans="1:11" ht="15.75" customHeight="1" thickBot="1">
      <c r="A173" s="30" t="s">
        <v>839</v>
      </c>
      <c r="B173" s="32" t="s">
        <v>817</v>
      </c>
      <c r="C173" s="82">
        <v>650</v>
      </c>
      <c r="D173" s="30"/>
      <c r="G173" s="123" t="s">
        <v>817</v>
      </c>
      <c r="H173" s="124">
        <v>650</v>
      </c>
      <c r="I173" s="124">
        <v>0</v>
      </c>
      <c r="J173" s="123"/>
    </row>
    <row r="174" spans="1:11" ht="15.75" customHeight="1" thickBot="1">
      <c r="A174" s="30" t="s">
        <v>840</v>
      </c>
      <c r="B174" s="32" t="s">
        <v>818</v>
      </c>
      <c r="C174" s="82">
        <v>980</v>
      </c>
      <c r="D174" s="30"/>
      <c r="G174" s="123" t="s">
        <v>818</v>
      </c>
      <c r="H174" s="124">
        <v>980</v>
      </c>
      <c r="I174" s="124">
        <v>0</v>
      </c>
      <c r="J174" s="123"/>
    </row>
    <row r="175" spans="1:11" ht="15.75" customHeight="1" thickBot="1">
      <c r="A175" s="30" t="s">
        <v>841</v>
      </c>
      <c r="B175" s="32" t="s">
        <v>819</v>
      </c>
      <c r="C175" s="82">
        <v>850</v>
      </c>
      <c r="D175" s="30"/>
      <c r="G175" s="123" t="s">
        <v>819</v>
      </c>
      <c r="H175" s="124">
        <v>850</v>
      </c>
      <c r="I175" s="123"/>
      <c r="J175" s="123"/>
    </row>
    <row r="176" spans="1:11" ht="15.75" customHeight="1" thickBot="1">
      <c r="A176" s="30" t="s">
        <v>842</v>
      </c>
      <c r="B176" s="32" t="s">
        <v>820</v>
      </c>
      <c r="C176" s="82">
        <v>1500</v>
      </c>
      <c r="D176" s="30"/>
      <c r="G176" s="123" t="s">
        <v>820</v>
      </c>
      <c r="H176" s="124">
        <v>1500</v>
      </c>
      <c r="I176" s="123" t="s">
        <v>821</v>
      </c>
      <c r="J176" s="123"/>
    </row>
    <row r="177" spans="1:10" ht="15.75" customHeight="1" thickBot="1">
      <c r="A177" s="30" t="s">
        <v>843</v>
      </c>
      <c r="B177" s="32" t="s">
        <v>822</v>
      </c>
      <c r="C177" s="82">
        <v>650</v>
      </c>
      <c r="D177" s="30"/>
      <c r="G177" s="123" t="s">
        <v>822</v>
      </c>
      <c r="H177" s="124">
        <v>650</v>
      </c>
      <c r="I177" s="123" t="s">
        <v>821</v>
      </c>
      <c r="J177" s="123"/>
    </row>
    <row r="178" spans="1:10" ht="15.75" customHeight="1" thickBot="1">
      <c r="A178" s="30" t="s">
        <v>844</v>
      </c>
      <c r="B178" s="32" t="s">
        <v>823</v>
      </c>
      <c r="C178" s="82">
        <v>650</v>
      </c>
      <c r="D178" s="30"/>
      <c r="G178" s="123" t="s">
        <v>823</v>
      </c>
      <c r="H178" s="124">
        <v>650</v>
      </c>
      <c r="I178" s="123" t="s">
        <v>824</v>
      </c>
      <c r="J178" s="123"/>
    </row>
    <row r="179" spans="1:10" ht="15.75" customHeight="1" thickBot="1">
      <c r="A179" s="30" t="s">
        <v>845</v>
      </c>
      <c r="B179" s="32" t="s">
        <v>825</v>
      </c>
      <c r="C179" s="82">
        <v>650</v>
      </c>
      <c r="D179" s="30"/>
      <c r="G179" s="123" t="s">
        <v>825</v>
      </c>
      <c r="H179" s="124">
        <v>650</v>
      </c>
      <c r="I179" s="123" t="s">
        <v>779</v>
      </c>
      <c r="J179" s="123"/>
    </row>
    <row r="180" spans="1:10" ht="15.75" customHeight="1" thickBot="1">
      <c r="A180" s="30" t="s">
        <v>846</v>
      </c>
      <c r="B180" s="32" t="s">
        <v>826</v>
      </c>
      <c r="C180" s="82">
        <v>1300</v>
      </c>
      <c r="D180" s="30"/>
      <c r="G180" s="123" t="s">
        <v>826</v>
      </c>
      <c r="H180" s="124">
        <v>1300</v>
      </c>
      <c r="I180" s="123" t="s">
        <v>824</v>
      </c>
      <c r="J180" s="123"/>
    </row>
    <row r="181" spans="1:10" ht="15.75" customHeight="1" thickBot="1">
      <c r="A181" s="30" t="s">
        <v>847</v>
      </c>
      <c r="B181" s="32" t="s">
        <v>827</v>
      </c>
      <c r="C181" s="82">
        <v>1200</v>
      </c>
      <c r="D181" s="30"/>
      <c r="G181" s="123" t="s">
        <v>827</v>
      </c>
      <c r="H181" s="124">
        <v>1200</v>
      </c>
      <c r="I181" s="123" t="s">
        <v>821</v>
      </c>
      <c r="J181" s="123"/>
    </row>
    <row r="182" spans="1:10" ht="15.75" customHeight="1" thickBot="1">
      <c r="A182" s="30" t="s">
        <v>413</v>
      </c>
      <c r="B182" s="92" t="s">
        <v>828</v>
      </c>
      <c r="C182" s="31"/>
      <c r="D182" s="30"/>
      <c r="G182" s="137" t="s">
        <v>828</v>
      </c>
      <c r="H182" s="123"/>
      <c r="I182" s="123"/>
      <c r="J182" s="123"/>
    </row>
    <row r="183" spans="1:10" ht="15.75" customHeight="1" thickBot="1">
      <c r="A183" s="30" t="s">
        <v>848</v>
      </c>
      <c r="B183" s="32" t="s">
        <v>829</v>
      </c>
      <c r="C183" s="82">
        <v>39</v>
      </c>
      <c r="D183" s="30"/>
      <c r="G183" s="123" t="s">
        <v>829</v>
      </c>
      <c r="H183" s="123" t="s">
        <v>1149</v>
      </c>
      <c r="I183" s="123" t="s">
        <v>779</v>
      </c>
      <c r="J183" s="123"/>
    </row>
    <row r="184" spans="1:10" ht="15.75" customHeight="1" thickBot="1">
      <c r="A184" s="30" t="s">
        <v>849</v>
      </c>
      <c r="B184" s="32" t="s">
        <v>830</v>
      </c>
      <c r="C184" s="82">
        <v>319</v>
      </c>
      <c r="D184" s="30"/>
      <c r="G184" s="123" t="s">
        <v>830</v>
      </c>
      <c r="H184" s="123" t="s">
        <v>1150</v>
      </c>
      <c r="I184" s="124" t="s">
        <v>1151</v>
      </c>
      <c r="J184" s="123"/>
    </row>
    <row r="185" spans="1:10" ht="15.75" customHeight="1" thickBot="1">
      <c r="A185" s="30" t="s">
        <v>850</v>
      </c>
      <c r="B185" s="32" t="s">
        <v>831</v>
      </c>
      <c r="C185" s="82">
        <v>2000</v>
      </c>
      <c r="D185" s="30"/>
      <c r="G185" s="123" t="s">
        <v>831</v>
      </c>
      <c r="H185" s="123" t="s">
        <v>832</v>
      </c>
      <c r="I185" s="123" t="s">
        <v>779</v>
      </c>
      <c r="J185" s="123"/>
    </row>
    <row r="186" spans="1:10" ht="15.5" customHeight="1" thickBot="1">
      <c r="A186" s="30" t="s">
        <v>851</v>
      </c>
      <c r="B186" s="32" t="s">
        <v>833</v>
      </c>
      <c r="C186" s="82">
        <v>350</v>
      </c>
      <c r="D186" s="30"/>
      <c r="G186" s="123" t="s">
        <v>833</v>
      </c>
      <c r="H186" s="124">
        <v>350</v>
      </c>
      <c r="I186" s="124" t="s">
        <v>824</v>
      </c>
      <c r="J186" s="123"/>
    </row>
    <row r="187" spans="1:10" ht="15.5" customHeight="1" thickBot="1">
      <c r="A187" s="30" t="s">
        <v>852</v>
      </c>
      <c r="B187" s="32" t="s">
        <v>834</v>
      </c>
      <c r="C187" s="82">
        <v>245</v>
      </c>
      <c r="D187" s="30"/>
      <c r="G187" s="123" t="s">
        <v>834</v>
      </c>
      <c r="H187" s="124">
        <v>245</v>
      </c>
      <c r="I187" s="124" t="s">
        <v>824</v>
      </c>
      <c r="J187" s="123"/>
    </row>
    <row r="188" spans="1:10" ht="15.5" customHeight="1" thickBot="1">
      <c r="A188" s="30" t="s">
        <v>853</v>
      </c>
      <c r="B188" s="32" t="s">
        <v>835</v>
      </c>
      <c r="C188" s="82">
        <v>420</v>
      </c>
      <c r="D188" s="30"/>
      <c r="G188" s="123" t="s">
        <v>835</v>
      </c>
      <c r="H188" s="124">
        <v>420</v>
      </c>
      <c r="I188" s="123" t="s">
        <v>821</v>
      </c>
      <c r="J188" s="123"/>
    </row>
    <row r="189" spans="1:10" ht="15.5" customHeight="1" thickBot="1">
      <c r="A189" s="30" t="s">
        <v>854</v>
      </c>
      <c r="B189" s="123" t="s">
        <v>1181</v>
      </c>
      <c r="C189" s="124">
        <v>350</v>
      </c>
      <c r="D189" s="123" t="s">
        <v>821</v>
      </c>
      <c r="G189" s="123" t="s">
        <v>1181</v>
      </c>
      <c r="H189" s="124">
        <v>350</v>
      </c>
      <c r="I189" s="146"/>
      <c r="J189" s="146"/>
    </row>
    <row r="190" spans="1:10" ht="15.5" customHeight="1" thickBot="1">
      <c r="A190" s="30" t="s">
        <v>855</v>
      </c>
      <c r="B190" s="123" t="s">
        <v>1182</v>
      </c>
      <c r="C190" s="124">
        <v>300</v>
      </c>
      <c r="D190" s="123" t="s">
        <v>821</v>
      </c>
      <c r="G190" s="123" t="s">
        <v>1182</v>
      </c>
      <c r="H190" s="124">
        <v>300</v>
      </c>
      <c r="I190" s="100"/>
      <c r="J190" s="30"/>
    </row>
    <row r="191" spans="1:10" ht="15.5" customHeight="1">
      <c r="A191" s="30"/>
      <c r="B191" s="146"/>
      <c r="C191" s="147"/>
      <c r="D191" s="146"/>
      <c r="G191" s="146"/>
      <c r="H191" s="147"/>
      <c r="I191" s="100"/>
      <c r="J191" s="30"/>
    </row>
    <row r="192" spans="1:10" ht="15.75" customHeight="1">
      <c r="A192" s="30" t="s">
        <v>897</v>
      </c>
      <c r="B192" s="30" t="s">
        <v>896</v>
      </c>
      <c r="C192" s="31">
        <v>1500</v>
      </c>
      <c r="D192" s="30"/>
      <c r="G192" s="30" t="s">
        <v>896</v>
      </c>
      <c r="H192" s="31">
        <v>1500</v>
      </c>
      <c r="I192" s="99" t="s">
        <v>821</v>
      </c>
      <c r="J192" s="30"/>
    </row>
    <row r="193" spans="1:11" ht="15.75" customHeight="1">
      <c r="A193" s="30" t="s">
        <v>904</v>
      </c>
      <c r="B193" s="30" t="s">
        <v>907</v>
      </c>
      <c r="C193" s="31">
        <v>430</v>
      </c>
      <c r="D193" s="30"/>
      <c r="G193" s="30" t="s">
        <v>907</v>
      </c>
      <c r="H193" s="31">
        <v>430</v>
      </c>
      <c r="I193" s="100"/>
      <c r="J193" s="30"/>
    </row>
    <row r="194" spans="1:11" ht="15.75" customHeight="1">
      <c r="A194" s="30" t="s">
        <v>1193</v>
      </c>
      <c r="B194" s="30" t="s">
        <v>1191</v>
      </c>
      <c r="C194" s="31">
        <v>1500</v>
      </c>
      <c r="D194" s="30"/>
      <c r="G194" s="30" t="s">
        <v>1191</v>
      </c>
      <c r="H194" s="31">
        <v>1500</v>
      </c>
      <c r="I194" s="100"/>
      <c r="J194" s="30"/>
    </row>
    <row r="195" spans="1:11" ht="15.75" customHeight="1">
      <c r="A195" s="30" t="s">
        <v>1194</v>
      </c>
      <c r="B195" s="30" t="s">
        <v>1192</v>
      </c>
      <c r="C195" s="31">
        <v>2200</v>
      </c>
      <c r="D195" s="30"/>
      <c r="G195" s="30" t="s">
        <v>1192</v>
      </c>
      <c r="H195" s="31">
        <v>2200</v>
      </c>
      <c r="I195" s="100"/>
      <c r="J195" s="30"/>
    </row>
    <row r="196" spans="1:11" ht="15.75" customHeight="1">
      <c r="A196" s="30" t="s">
        <v>900</v>
      </c>
      <c r="B196" s="30" t="s">
        <v>908</v>
      </c>
      <c r="C196" s="31">
        <v>210</v>
      </c>
      <c r="D196" s="30"/>
      <c r="G196" s="30" t="s">
        <v>908</v>
      </c>
      <c r="H196" s="31">
        <v>210</v>
      </c>
      <c r="I196" s="100"/>
      <c r="J196" s="30"/>
    </row>
    <row r="197" spans="1:11" ht="15.75" customHeight="1">
      <c r="A197" s="30" t="s">
        <v>923</v>
      </c>
      <c r="B197" s="30" t="s">
        <v>918</v>
      </c>
      <c r="C197" s="31">
        <v>450</v>
      </c>
      <c r="D197" s="30"/>
      <c r="G197" s="30" t="s">
        <v>918</v>
      </c>
      <c r="H197" s="31">
        <v>450</v>
      </c>
      <c r="I197" s="100"/>
      <c r="J197" s="30"/>
    </row>
    <row r="198" spans="1:11" ht="15.75" customHeight="1">
      <c r="A198" s="30" t="s">
        <v>924</v>
      </c>
      <c r="B198" s="30" t="s">
        <v>920</v>
      </c>
      <c r="C198" s="31">
        <v>550</v>
      </c>
      <c r="D198" s="30"/>
      <c r="G198" s="30" t="s">
        <v>920</v>
      </c>
      <c r="H198" s="31">
        <v>550</v>
      </c>
      <c r="I198" s="100"/>
      <c r="J198" s="30"/>
    </row>
    <row r="199" spans="1:11" ht="15.75" customHeight="1">
      <c r="A199" s="30" t="s">
        <v>925</v>
      </c>
      <c r="B199" s="30" t="s">
        <v>919</v>
      </c>
      <c r="C199" s="31">
        <v>550</v>
      </c>
      <c r="D199" s="30"/>
      <c r="G199" s="30" t="s">
        <v>919</v>
      </c>
      <c r="H199" s="31">
        <v>550</v>
      </c>
      <c r="I199" s="100"/>
      <c r="J199" s="30"/>
    </row>
    <row r="200" spans="1:11" ht="15.75" customHeight="1">
      <c r="A200" s="30" t="s">
        <v>926</v>
      </c>
      <c r="B200" s="30" t="s">
        <v>921</v>
      </c>
      <c r="C200" s="31">
        <v>450</v>
      </c>
      <c r="D200" s="30"/>
      <c r="G200" s="30" t="s">
        <v>921</v>
      </c>
      <c r="H200" s="31">
        <v>450</v>
      </c>
      <c r="I200" s="100"/>
      <c r="J200" s="30"/>
    </row>
    <row r="201" spans="1:11" ht="15.75" customHeight="1">
      <c r="A201" s="30" t="s">
        <v>927</v>
      </c>
      <c r="B201" s="30" t="s">
        <v>922</v>
      </c>
      <c r="C201" s="31">
        <v>450</v>
      </c>
      <c r="D201" s="30"/>
      <c r="G201" s="148" t="s">
        <v>922</v>
      </c>
      <c r="H201" s="149">
        <v>450</v>
      </c>
      <c r="I201" s="150"/>
      <c r="J201" s="148"/>
    </row>
    <row r="202" spans="1:11" ht="15.75" customHeight="1">
      <c r="A202" s="30" t="s">
        <v>939</v>
      </c>
      <c r="B202" s="30" t="s">
        <v>938</v>
      </c>
      <c r="C202" s="31">
        <v>550</v>
      </c>
      <c r="D202" s="30"/>
      <c r="G202" s="30" t="s">
        <v>938</v>
      </c>
      <c r="H202" s="31">
        <v>550</v>
      </c>
      <c r="I202" s="100"/>
      <c r="J202" s="30"/>
      <c r="K202" s="30"/>
    </row>
    <row r="203" spans="1:11" ht="15.75" customHeight="1">
      <c r="A203" s="30" t="s">
        <v>959</v>
      </c>
      <c r="B203" s="30" t="s">
        <v>958</v>
      </c>
      <c r="C203" s="31">
        <v>249</v>
      </c>
      <c r="D203" s="30"/>
      <c r="G203" s="30" t="s">
        <v>958</v>
      </c>
      <c r="H203" s="31">
        <v>249</v>
      </c>
      <c r="I203" s="100"/>
      <c r="J203" s="30"/>
      <c r="K203" s="30"/>
    </row>
    <row r="204" spans="1:11" ht="15" customHeight="1">
      <c r="A204" s="30" t="s">
        <v>1066</v>
      </c>
      <c r="B204" s="30" t="s">
        <v>1065</v>
      </c>
      <c r="C204" s="31">
        <v>350</v>
      </c>
      <c r="D204" s="30"/>
      <c r="G204" s="30" t="s">
        <v>1065</v>
      </c>
      <c r="H204" s="31">
        <v>350</v>
      </c>
      <c r="I204" s="100"/>
      <c r="J204" s="30"/>
      <c r="K204" s="30"/>
    </row>
    <row r="205" spans="1:11" ht="15.75" customHeight="1">
      <c r="A205" s="13" t="s">
        <v>1152</v>
      </c>
      <c r="B205" s="13" t="s">
        <v>1148</v>
      </c>
      <c r="C205" s="8">
        <v>350</v>
      </c>
      <c r="D205" s="30"/>
      <c r="G205" s="13" t="s">
        <v>1148</v>
      </c>
      <c r="H205" s="8">
        <v>350</v>
      </c>
      <c r="I205" s="100"/>
      <c r="J205" s="30"/>
      <c r="K205" s="30"/>
    </row>
    <row r="206" spans="1:11" ht="15.75" customHeight="1">
      <c r="A206" s="13" t="s">
        <v>1169</v>
      </c>
      <c r="B206" s="13" t="s">
        <v>461</v>
      </c>
      <c r="C206" s="8">
        <v>350</v>
      </c>
      <c r="D206" s="30"/>
      <c r="G206" s="13" t="s">
        <v>461</v>
      </c>
      <c r="H206" s="8">
        <v>350</v>
      </c>
      <c r="I206" s="100"/>
      <c r="J206" s="30"/>
      <c r="K206" s="30"/>
    </row>
    <row r="207" spans="1:11" ht="15.75" customHeight="1">
      <c r="A207" s="13" t="s">
        <v>1184</v>
      </c>
      <c r="B207" s="13" t="s">
        <v>1183</v>
      </c>
      <c r="C207" s="8">
        <v>650</v>
      </c>
      <c r="D207" s="30"/>
      <c r="G207" s="13" t="s">
        <v>1183</v>
      </c>
      <c r="H207" s="8">
        <v>650</v>
      </c>
      <c r="I207" s="100"/>
      <c r="J207" s="30"/>
      <c r="K207" s="30"/>
    </row>
    <row r="208" spans="1:11" ht="15.75" customHeight="1">
      <c r="A208" s="30" t="s">
        <v>1011</v>
      </c>
      <c r="B208" s="30" t="s">
        <v>1010</v>
      </c>
      <c r="C208" s="31">
        <v>129</v>
      </c>
      <c r="D208" s="30"/>
      <c r="G208" s="30" t="s">
        <v>1010</v>
      </c>
      <c r="H208" s="31">
        <v>129</v>
      </c>
      <c r="I208" s="100"/>
      <c r="J208" s="30"/>
      <c r="K208" s="30"/>
    </row>
    <row r="209" spans="1:8" ht="15.75" customHeight="1">
      <c r="A209" s="5" t="s">
        <v>1213</v>
      </c>
      <c r="B209" s="5" t="s">
        <v>1212</v>
      </c>
      <c r="C209" s="29">
        <v>300</v>
      </c>
      <c r="G209" s="5" t="s">
        <v>1212</v>
      </c>
      <c r="H209" s="29">
        <v>245</v>
      </c>
    </row>
    <row r="210" spans="1:8" ht="15.75" customHeight="1">
      <c r="A210" s="5" t="s">
        <v>1214</v>
      </c>
      <c r="B210" s="5" t="s">
        <v>1215</v>
      </c>
      <c r="C210" s="29">
        <v>320</v>
      </c>
      <c r="G210" s="5" t="s">
        <v>1215</v>
      </c>
      <c r="H210" s="29">
        <v>320</v>
      </c>
    </row>
    <row r="211" spans="1:8" ht="15.75" customHeight="1">
      <c r="A211" s="5" t="s">
        <v>1233</v>
      </c>
      <c r="B211" s="5" t="s">
        <v>1227</v>
      </c>
      <c r="C211" s="29">
        <v>390</v>
      </c>
      <c r="G211" s="5" t="s">
        <v>1231</v>
      </c>
      <c r="H211" s="29">
        <v>390</v>
      </c>
    </row>
    <row r="212" spans="1:8" ht="15.75" customHeight="1">
      <c r="A212" s="5" t="s">
        <v>1232</v>
      </c>
      <c r="B212" s="5" t="s">
        <v>1231</v>
      </c>
      <c r="C212" s="29">
        <v>380</v>
      </c>
      <c r="G212" s="5" t="s">
        <v>1231</v>
      </c>
      <c r="H212" s="29">
        <v>380</v>
      </c>
    </row>
    <row r="213" spans="1:8" ht="15.75" customHeight="1">
      <c r="A213" s="5" t="s">
        <v>1276</v>
      </c>
      <c r="B213" s="5" t="s">
        <v>1275</v>
      </c>
      <c r="C213" s="29">
        <v>650</v>
      </c>
      <c r="G213" s="5" t="s">
        <v>1275</v>
      </c>
      <c r="H213" s="29">
        <v>650</v>
      </c>
    </row>
  </sheetData>
  <autoFilter ref="A2:D169" xr:uid="{663BF067-1A82-4F39-9D4D-DCC7CB7D31DE}"/>
  <mergeCells count="2">
    <mergeCell ref="B1:D1"/>
    <mergeCell ref="G1:I1"/>
  </mergeCells>
  <phoneticPr fontId="6" type="noConversion"/>
  <conditionalFormatting sqref="C4:C1000">
    <cfRule type="expression" dxfId="2" priority="18">
      <formula>$C4&lt;&gt;$H4</formula>
    </cfRule>
  </conditionalFormatting>
  <conditionalFormatting sqref="A211:A1048576 A208 A1:A204">
    <cfRule type="expression" dxfId="1" priority="14">
      <formula>COUNTIF($A:$A,A1)&gt;1</formula>
    </cfRule>
  </conditionalFormatting>
  <conditionalFormatting sqref="A205:A207">
    <cfRule type="expression" dxfId="0" priority="9">
      <formula>COUNTIF($B:$B,A205)&gt;1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1" r:id="rId3" name="Button 3">
              <controlPr defaultSize="0" print="0" autoFill="0" autoPict="0" macro="[0]!CreateFoldersFromColumnA">
                <anchor moveWithCells="1" sizeWithCells="1">
                  <from>
                    <xdr:col>4</xdr:col>
                    <xdr:colOff>38100</xdr:colOff>
                    <xdr:row>0</xdr:row>
                    <xdr:rowOff>82550</xdr:rowOff>
                  </from>
                  <to>
                    <xdr:col>5</xdr:col>
                    <xdr:colOff>273050</xdr:colOff>
                    <xdr:row>1</xdr:row>
                    <xdr:rowOff>177800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822830-A639-411E-B507-5D8AA60A7A27}">
  <sheetPr codeName="Sheet5"/>
  <dimension ref="B1:J194"/>
  <sheetViews>
    <sheetView showGridLines="0" tabSelected="1" topLeftCell="A180" zoomScaleNormal="100" workbookViewId="0">
      <selection activeCell="F186" sqref="F186"/>
    </sheetView>
  </sheetViews>
  <sheetFormatPr defaultRowHeight="12.5"/>
  <cols>
    <col min="1" max="1" width="2.1796875" customWidth="1"/>
    <col min="2" max="2" width="12.90625" style="13" customWidth="1"/>
    <col min="3" max="3" width="32" style="13" customWidth="1"/>
    <col min="4" max="4" width="16.90625" style="13" customWidth="1"/>
    <col min="5" max="5" width="10.81640625" style="8" customWidth="1"/>
    <col min="6" max="6" width="21.81640625" style="13" customWidth="1"/>
    <col min="7" max="7" width="18.6328125" style="28" customWidth="1"/>
    <col min="8" max="8" width="26.81640625" style="28" customWidth="1"/>
    <col min="9" max="9" width="21.453125" style="13" customWidth="1"/>
    <col min="10" max="10" width="26.36328125" style="13" customWidth="1"/>
    <col min="11" max="11" width="2.1796875" customWidth="1"/>
  </cols>
  <sheetData>
    <row r="1" spans="2:10" ht="12" customHeight="1">
      <c r="B1"/>
      <c r="C1"/>
      <c r="D1"/>
      <c r="E1" s="9"/>
      <c r="F1"/>
      <c r="G1" s="1"/>
      <c r="H1" s="1"/>
      <c r="I1"/>
      <c r="J1"/>
    </row>
    <row r="2" spans="2:10" ht="6" customHeight="1">
      <c r="B2"/>
      <c r="C2"/>
      <c r="D2"/>
      <c r="E2" s="9"/>
      <c r="F2"/>
      <c r="G2" s="1"/>
      <c r="H2" s="1"/>
      <c r="I2"/>
      <c r="J2"/>
    </row>
    <row r="3" spans="2:10" s="4" customFormat="1" ht="38.4" customHeight="1">
      <c r="B3" s="10" t="s">
        <v>12</v>
      </c>
      <c r="C3" s="10" t="s">
        <v>13</v>
      </c>
      <c r="D3" s="10" t="s">
        <v>14</v>
      </c>
      <c r="E3" s="7" t="s">
        <v>15</v>
      </c>
      <c r="F3" s="10" t="s">
        <v>16</v>
      </c>
      <c r="G3" s="10" t="s">
        <v>17</v>
      </c>
      <c r="H3" s="12" t="s">
        <v>475</v>
      </c>
      <c r="I3" s="10" t="s">
        <v>476</v>
      </c>
      <c r="J3" s="10" t="s">
        <v>765</v>
      </c>
    </row>
    <row r="4" spans="2:10">
      <c r="B4" s="2" t="s">
        <v>273</v>
      </c>
      <c r="C4" s="2" t="s">
        <v>18</v>
      </c>
      <c r="D4" s="2"/>
      <c r="E4" s="8">
        <v>679</v>
      </c>
      <c r="F4" s="2" t="s">
        <v>1</v>
      </c>
      <c r="G4" s="3" t="s">
        <v>439</v>
      </c>
      <c r="H4" s="11"/>
      <c r="I4" s="19" t="s">
        <v>477</v>
      </c>
      <c r="J4" s="20" t="s">
        <v>478</v>
      </c>
    </row>
    <row r="5" spans="2:10">
      <c r="B5" s="2" t="s">
        <v>274</v>
      </c>
      <c r="C5" s="2" t="s">
        <v>19</v>
      </c>
      <c r="D5" s="2"/>
      <c r="E5" s="8">
        <v>379</v>
      </c>
      <c r="F5" s="2" t="s">
        <v>2</v>
      </c>
      <c r="G5" s="3" t="s">
        <v>439</v>
      </c>
      <c r="H5" s="11"/>
      <c r="I5" s="19" t="s">
        <v>479</v>
      </c>
      <c r="J5" s="20" t="s">
        <v>480</v>
      </c>
    </row>
    <row r="6" spans="2:10">
      <c r="B6" s="2" t="s">
        <v>275</v>
      </c>
      <c r="C6" s="2" t="s">
        <v>20</v>
      </c>
      <c r="D6" s="2"/>
      <c r="E6" s="8">
        <v>530</v>
      </c>
      <c r="F6" s="2" t="s">
        <v>2</v>
      </c>
      <c r="G6" s="3" t="s">
        <v>439</v>
      </c>
      <c r="H6" s="11"/>
      <c r="I6" s="19" t="s">
        <v>481</v>
      </c>
      <c r="J6" s="20" t="s">
        <v>482</v>
      </c>
    </row>
    <row r="7" spans="2:10">
      <c r="B7" s="2" t="s">
        <v>276</v>
      </c>
      <c r="C7" s="2" t="s">
        <v>21</v>
      </c>
      <c r="D7" s="2"/>
      <c r="E7" s="8">
        <v>250</v>
      </c>
      <c r="F7" s="2" t="s">
        <v>2</v>
      </c>
      <c r="G7" s="3" t="s">
        <v>443</v>
      </c>
      <c r="H7" s="11"/>
      <c r="I7" s="19" t="s">
        <v>483</v>
      </c>
      <c r="J7" s="20" t="s">
        <v>484</v>
      </c>
    </row>
    <row r="8" spans="2:10">
      <c r="B8" s="2" t="s">
        <v>277</v>
      </c>
      <c r="C8" s="2" t="s">
        <v>22</v>
      </c>
      <c r="D8" s="2"/>
      <c r="E8" s="8" t="s">
        <v>151</v>
      </c>
      <c r="F8" s="2"/>
      <c r="G8" s="3" t="s">
        <v>439</v>
      </c>
      <c r="H8" s="11"/>
      <c r="I8" s="19" t="s">
        <v>485</v>
      </c>
      <c r="J8" s="20" t="s">
        <v>486</v>
      </c>
    </row>
    <row r="9" spans="2:10">
      <c r="B9" s="2" t="s">
        <v>278</v>
      </c>
      <c r="C9" s="2" t="s">
        <v>152</v>
      </c>
      <c r="D9" s="2"/>
      <c r="E9" s="8" t="s">
        <v>151</v>
      </c>
      <c r="F9" s="2"/>
      <c r="G9" s="3" t="s">
        <v>439</v>
      </c>
      <c r="H9" s="11"/>
      <c r="I9" s="19" t="s">
        <v>487</v>
      </c>
      <c r="J9" s="20" t="s">
        <v>488</v>
      </c>
    </row>
    <row r="10" spans="2:10">
      <c r="B10" s="2" t="s">
        <v>279</v>
      </c>
      <c r="C10" s="2" t="s">
        <v>3</v>
      </c>
      <c r="D10" s="2"/>
      <c r="E10" s="8">
        <v>459</v>
      </c>
      <c r="F10" s="2" t="s">
        <v>2</v>
      </c>
      <c r="G10" s="3" t="s">
        <v>439</v>
      </c>
      <c r="H10" s="11"/>
      <c r="I10" s="19" t="s">
        <v>489</v>
      </c>
      <c r="J10" s="20" t="s">
        <v>490</v>
      </c>
    </row>
    <row r="11" spans="2:10">
      <c r="B11" s="2" t="s">
        <v>280</v>
      </c>
      <c r="C11" s="2" t="s">
        <v>4</v>
      </c>
      <c r="D11" s="2"/>
      <c r="E11" s="8">
        <v>550</v>
      </c>
      <c r="F11" s="2" t="s">
        <v>2</v>
      </c>
      <c r="G11" s="3" t="s">
        <v>439</v>
      </c>
      <c r="H11" s="11"/>
      <c r="I11" s="19" t="s">
        <v>491</v>
      </c>
      <c r="J11" s="20" t="s">
        <v>492</v>
      </c>
    </row>
    <row r="12" spans="2:10">
      <c r="B12" s="2" t="s">
        <v>281</v>
      </c>
      <c r="C12" s="2" t="s">
        <v>5</v>
      </c>
      <c r="D12" s="2"/>
      <c r="E12" s="8">
        <v>480</v>
      </c>
      <c r="F12" s="2" t="s">
        <v>2</v>
      </c>
      <c r="G12" s="3" t="s">
        <v>439</v>
      </c>
      <c r="H12" s="11"/>
      <c r="I12" s="19" t="s">
        <v>493</v>
      </c>
      <c r="J12" s="20" t="s">
        <v>494</v>
      </c>
    </row>
    <row r="13" spans="2:10">
      <c r="B13" s="2" t="s">
        <v>282</v>
      </c>
      <c r="C13" s="2" t="s">
        <v>153</v>
      </c>
      <c r="D13" s="2"/>
      <c r="E13" s="8">
        <v>390</v>
      </c>
      <c r="F13" s="2" t="s">
        <v>1</v>
      </c>
      <c r="G13" s="3" t="s">
        <v>439</v>
      </c>
      <c r="H13" s="11"/>
      <c r="I13" s="19" t="s">
        <v>495</v>
      </c>
      <c r="J13" s="20" t="s">
        <v>496</v>
      </c>
    </row>
    <row r="14" spans="2:10" ht="12" customHeight="1">
      <c r="B14" s="2" t="s">
        <v>283</v>
      </c>
      <c r="C14" s="2" t="s">
        <v>25</v>
      </c>
      <c r="D14" s="2"/>
      <c r="E14" s="8">
        <v>249</v>
      </c>
      <c r="F14" s="2" t="s">
        <v>2</v>
      </c>
      <c r="G14" s="3" t="s">
        <v>439</v>
      </c>
      <c r="H14" s="11"/>
      <c r="I14" s="19" t="s">
        <v>497</v>
      </c>
      <c r="J14" s="20" t="s">
        <v>498</v>
      </c>
    </row>
    <row r="15" spans="2:10">
      <c r="B15" s="2" t="s">
        <v>435</v>
      </c>
      <c r="C15" s="2" t="s">
        <v>26</v>
      </c>
      <c r="D15" s="2"/>
      <c r="E15" s="8">
        <v>780</v>
      </c>
      <c r="F15" s="2" t="s">
        <v>2</v>
      </c>
      <c r="G15" s="3" t="s">
        <v>439</v>
      </c>
      <c r="H15" s="11"/>
      <c r="I15" s="19" t="s">
        <v>499</v>
      </c>
      <c r="J15" s="20" t="s">
        <v>500</v>
      </c>
    </row>
    <row r="16" spans="2:10">
      <c r="B16" s="2" t="s">
        <v>436</v>
      </c>
      <c r="C16" s="2" t="s">
        <v>27</v>
      </c>
      <c r="D16" s="2"/>
      <c r="E16" s="8">
        <v>380</v>
      </c>
      <c r="F16" s="2" t="s">
        <v>2</v>
      </c>
      <c r="G16" s="3" t="s">
        <v>439</v>
      </c>
      <c r="H16" s="11"/>
      <c r="I16" s="19" t="s">
        <v>501</v>
      </c>
      <c r="J16" s="20" t="s">
        <v>502</v>
      </c>
    </row>
    <row r="17" spans="2:10">
      <c r="B17" s="2" t="s">
        <v>284</v>
      </c>
      <c r="C17" s="2" t="s">
        <v>28</v>
      </c>
      <c r="D17" s="2"/>
      <c r="E17" s="8" t="s">
        <v>151</v>
      </c>
      <c r="F17" s="2"/>
      <c r="G17" s="3" t="s">
        <v>439</v>
      </c>
      <c r="H17" s="11"/>
      <c r="I17" s="19" t="s">
        <v>503</v>
      </c>
      <c r="J17" s="20" t="s">
        <v>504</v>
      </c>
    </row>
    <row r="18" spans="2:10">
      <c r="B18" s="2" t="s">
        <v>285</v>
      </c>
      <c r="C18" s="2" t="s">
        <v>29</v>
      </c>
      <c r="D18" s="2"/>
      <c r="E18" s="8">
        <v>279</v>
      </c>
      <c r="F18" s="2" t="s">
        <v>2</v>
      </c>
      <c r="G18" s="3" t="s">
        <v>439</v>
      </c>
      <c r="H18" s="11"/>
      <c r="I18" s="19" t="s">
        <v>505</v>
      </c>
      <c r="J18" s="20" t="s">
        <v>506</v>
      </c>
    </row>
    <row r="19" spans="2:10">
      <c r="B19" s="2" t="s">
        <v>286</v>
      </c>
      <c r="C19" s="2" t="s">
        <v>0</v>
      </c>
      <c r="D19" s="2"/>
      <c r="E19" s="8">
        <v>570</v>
      </c>
      <c r="F19" s="2" t="s">
        <v>1</v>
      </c>
      <c r="G19" s="3" t="s">
        <v>439</v>
      </c>
      <c r="H19" s="11"/>
      <c r="I19" s="19" t="s">
        <v>507</v>
      </c>
      <c r="J19" s="20" t="s">
        <v>508</v>
      </c>
    </row>
    <row r="20" spans="2:10">
      <c r="B20" s="2" t="s">
        <v>287</v>
      </c>
      <c r="C20" s="2" t="s">
        <v>30</v>
      </c>
      <c r="D20" s="2"/>
      <c r="E20" s="8">
        <v>299</v>
      </c>
      <c r="F20" s="2" t="s">
        <v>2</v>
      </c>
      <c r="G20" s="3" t="s">
        <v>439</v>
      </c>
      <c r="H20" s="11"/>
      <c r="I20" s="19" t="s">
        <v>509</v>
      </c>
      <c r="J20" s="20" t="s">
        <v>510</v>
      </c>
    </row>
    <row r="21" spans="2:10">
      <c r="B21" s="2" t="s">
        <v>288</v>
      </c>
      <c r="C21" s="2" t="s">
        <v>31</v>
      </c>
      <c r="D21" s="2"/>
      <c r="E21" s="8">
        <v>650</v>
      </c>
      <c r="F21" s="2" t="s">
        <v>1</v>
      </c>
      <c r="G21" s="3" t="s">
        <v>439</v>
      </c>
      <c r="H21" s="11"/>
      <c r="I21" s="19" t="s">
        <v>511</v>
      </c>
      <c r="J21" s="20" t="s">
        <v>512</v>
      </c>
    </row>
    <row r="22" spans="2:10">
      <c r="B22" s="2" t="s">
        <v>289</v>
      </c>
      <c r="C22" s="2" t="s">
        <v>32</v>
      </c>
      <c r="D22" s="2"/>
      <c r="E22" s="8">
        <v>390</v>
      </c>
      <c r="F22" s="2" t="s">
        <v>2</v>
      </c>
      <c r="G22" s="3" t="s">
        <v>439</v>
      </c>
      <c r="H22" s="11"/>
      <c r="I22" s="19" t="s">
        <v>513</v>
      </c>
      <c r="J22" s="20" t="s">
        <v>514</v>
      </c>
    </row>
    <row r="23" spans="2:10">
      <c r="B23" s="2" t="s">
        <v>290</v>
      </c>
      <c r="C23" s="2" t="s">
        <v>33</v>
      </c>
      <c r="D23" s="2"/>
      <c r="E23" s="8">
        <v>350</v>
      </c>
      <c r="F23" s="2" t="s">
        <v>1</v>
      </c>
      <c r="G23" s="3" t="s">
        <v>439</v>
      </c>
      <c r="H23" s="11"/>
      <c r="I23" s="19" t="s">
        <v>515</v>
      </c>
      <c r="J23" s="20" t="s">
        <v>516</v>
      </c>
    </row>
    <row r="24" spans="2:10">
      <c r="B24" s="2" t="s">
        <v>291</v>
      </c>
      <c r="C24" s="2" t="s">
        <v>34</v>
      </c>
      <c r="D24" s="2"/>
      <c r="E24" s="8">
        <v>350</v>
      </c>
      <c r="F24" s="2" t="s">
        <v>2</v>
      </c>
      <c r="G24" s="3" t="s">
        <v>439</v>
      </c>
      <c r="H24" s="11"/>
      <c r="I24" s="19" t="s">
        <v>517</v>
      </c>
      <c r="J24" s="20" t="s">
        <v>518</v>
      </c>
    </row>
    <row r="25" spans="2:10">
      <c r="B25" s="2" t="s">
        <v>292</v>
      </c>
      <c r="C25" s="2" t="s">
        <v>35</v>
      </c>
      <c r="D25" s="2"/>
      <c r="E25" s="8">
        <v>900</v>
      </c>
      <c r="F25" s="2" t="s">
        <v>2</v>
      </c>
      <c r="G25" s="3" t="s">
        <v>439</v>
      </c>
      <c r="H25" s="11"/>
      <c r="I25" s="19" t="s">
        <v>519</v>
      </c>
      <c r="J25" s="20" t="s">
        <v>520</v>
      </c>
    </row>
    <row r="26" spans="2:10">
      <c r="B26" s="2" t="s">
        <v>293</v>
      </c>
      <c r="C26" s="2" t="s">
        <v>36</v>
      </c>
      <c r="D26" s="2"/>
      <c r="E26" s="8">
        <v>420</v>
      </c>
      <c r="F26" s="2" t="s">
        <v>154</v>
      </c>
      <c r="G26" s="3" t="s">
        <v>439</v>
      </c>
      <c r="H26" s="11"/>
      <c r="I26" s="19" t="s">
        <v>521</v>
      </c>
      <c r="J26" s="20" t="s">
        <v>522</v>
      </c>
    </row>
    <row r="27" spans="2:10">
      <c r="B27" s="2" t="s">
        <v>294</v>
      </c>
      <c r="C27" s="2" t="s">
        <v>6</v>
      </c>
      <c r="D27" s="2"/>
      <c r="E27" s="8">
        <v>900</v>
      </c>
      <c r="F27" s="2" t="s">
        <v>2</v>
      </c>
      <c r="G27" s="3" t="s">
        <v>439</v>
      </c>
      <c r="H27" s="11"/>
      <c r="I27" s="19" t="s">
        <v>523</v>
      </c>
      <c r="J27" s="20" t="s">
        <v>524</v>
      </c>
    </row>
    <row r="28" spans="2:10">
      <c r="B28" s="2" t="s">
        <v>295</v>
      </c>
      <c r="C28" s="2" t="s">
        <v>37</v>
      </c>
      <c r="D28" s="2"/>
      <c r="E28" s="8">
        <v>299</v>
      </c>
      <c r="F28" s="2" t="s">
        <v>2</v>
      </c>
      <c r="G28" s="3" t="s">
        <v>439</v>
      </c>
      <c r="H28" s="11"/>
      <c r="I28" s="19" t="s">
        <v>525</v>
      </c>
      <c r="J28" s="20" t="s">
        <v>526</v>
      </c>
    </row>
    <row r="29" spans="2:10">
      <c r="B29" s="2" t="s">
        <v>296</v>
      </c>
      <c r="C29" s="2" t="s">
        <v>38</v>
      </c>
      <c r="D29" s="2"/>
      <c r="E29" s="8">
        <v>1900</v>
      </c>
      <c r="F29" s="2" t="s">
        <v>7</v>
      </c>
      <c r="G29" s="3" t="s">
        <v>439</v>
      </c>
      <c r="H29" s="11"/>
      <c r="I29" s="19" t="s">
        <v>527</v>
      </c>
      <c r="J29" s="20" t="s">
        <v>528</v>
      </c>
    </row>
    <row r="30" spans="2:10">
      <c r="B30" s="2" t="s">
        <v>297</v>
      </c>
      <c r="C30" s="2" t="s">
        <v>39</v>
      </c>
      <c r="D30" s="2"/>
      <c r="E30" s="8">
        <v>970</v>
      </c>
      <c r="F30" s="2"/>
      <c r="G30" s="3" t="s">
        <v>440</v>
      </c>
      <c r="H30" s="11"/>
      <c r="I30" s="19" t="s">
        <v>529</v>
      </c>
      <c r="J30" s="20" t="s">
        <v>530</v>
      </c>
    </row>
    <row r="31" spans="2:10">
      <c r="B31" s="2" t="s">
        <v>298</v>
      </c>
      <c r="C31" s="2" t="s">
        <v>40</v>
      </c>
      <c r="D31" s="2"/>
      <c r="E31" s="8">
        <v>350</v>
      </c>
      <c r="F31" s="2"/>
      <c r="G31" s="3" t="s">
        <v>440</v>
      </c>
      <c r="H31" s="11"/>
      <c r="I31" s="19" t="s">
        <v>531</v>
      </c>
      <c r="J31" s="20" t="s">
        <v>532</v>
      </c>
    </row>
    <row r="32" spans="2:10">
      <c r="B32" s="2" t="s">
        <v>299</v>
      </c>
      <c r="C32" s="2" t="s">
        <v>41</v>
      </c>
      <c r="D32" s="2"/>
      <c r="E32" s="8">
        <v>389</v>
      </c>
      <c r="F32" s="2"/>
      <c r="G32" s="3" t="s">
        <v>440</v>
      </c>
      <c r="H32" s="11"/>
      <c r="I32" s="19" t="s">
        <v>533</v>
      </c>
      <c r="J32" s="20" t="s">
        <v>534</v>
      </c>
    </row>
    <row r="33" spans="2:10">
      <c r="B33" s="2" t="s">
        <v>300</v>
      </c>
      <c r="C33" s="2" t="s">
        <v>42</v>
      </c>
      <c r="D33" s="2"/>
      <c r="E33" s="8">
        <v>390</v>
      </c>
      <c r="F33" s="2" t="s">
        <v>1</v>
      </c>
      <c r="G33" s="3" t="s">
        <v>441</v>
      </c>
      <c r="H33" s="11"/>
      <c r="I33" s="19" t="s">
        <v>535</v>
      </c>
      <c r="J33" s="20" t="s">
        <v>536</v>
      </c>
    </row>
    <row r="34" spans="2:10">
      <c r="B34" s="2" t="s">
        <v>301</v>
      </c>
      <c r="C34" s="2" t="s">
        <v>43</v>
      </c>
      <c r="D34" s="2"/>
      <c r="E34" s="8">
        <v>390</v>
      </c>
      <c r="F34" s="2" t="s">
        <v>1</v>
      </c>
      <c r="G34" s="3" t="s">
        <v>441</v>
      </c>
      <c r="H34" s="11"/>
      <c r="I34" s="19" t="s">
        <v>537</v>
      </c>
      <c r="J34" s="20" t="s">
        <v>538</v>
      </c>
    </row>
    <row r="35" spans="2:10">
      <c r="B35" s="2" t="s">
        <v>302</v>
      </c>
      <c r="C35" s="2" t="s">
        <v>44</v>
      </c>
      <c r="D35" s="2"/>
      <c r="E35" s="8">
        <v>550</v>
      </c>
      <c r="F35" s="2" t="s">
        <v>1</v>
      </c>
      <c r="G35" s="3" t="s">
        <v>441</v>
      </c>
      <c r="H35" s="11"/>
      <c r="I35" s="19" t="s">
        <v>539</v>
      </c>
      <c r="J35" s="20" t="s">
        <v>540</v>
      </c>
    </row>
    <row r="36" spans="2:10">
      <c r="B36" s="2" t="s">
        <v>303</v>
      </c>
      <c r="C36" s="2" t="s">
        <v>45</v>
      </c>
      <c r="D36" s="2"/>
      <c r="E36" s="8">
        <v>390</v>
      </c>
      <c r="F36" s="2" t="s">
        <v>1</v>
      </c>
      <c r="G36" s="3" t="s">
        <v>441</v>
      </c>
      <c r="H36" s="11"/>
      <c r="I36" s="19" t="s">
        <v>541</v>
      </c>
      <c r="J36" s="20" t="s">
        <v>542</v>
      </c>
    </row>
    <row r="37" spans="2:10">
      <c r="B37" s="2" t="s">
        <v>304</v>
      </c>
      <c r="C37" s="2" t="s">
        <v>46</v>
      </c>
      <c r="D37" s="2"/>
      <c r="E37" s="8">
        <v>390</v>
      </c>
      <c r="F37" s="2" t="s">
        <v>1</v>
      </c>
      <c r="G37" s="3" t="s">
        <v>441</v>
      </c>
      <c r="H37" s="11"/>
      <c r="I37" s="19" t="s">
        <v>543</v>
      </c>
      <c r="J37" s="20" t="s">
        <v>544</v>
      </c>
    </row>
    <row r="38" spans="2:10">
      <c r="B38" s="2" t="s">
        <v>305</v>
      </c>
      <c r="C38" s="2" t="s">
        <v>47</v>
      </c>
      <c r="D38" s="2"/>
      <c r="E38" s="8">
        <v>390</v>
      </c>
      <c r="F38" s="2" t="s">
        <v>1</v>
      </c>
      <c r="G38" s="3" t="s">
        <v>442</v>
      </c>
      <c r="H38" s="11"/>
      <c r="I38" s="19" t="s">
        <v>545</v>
      </c>
      <c r="J38" s="20" t="s">
        <v>546</v>
      </c>
    </row>
    <row r="39" spans="2:10">
      <c r="B39" s="2" t="s">
        <v>306</v>
      </c>
      <c r="C39" s="2" t="s">
        <v>48</v>
      </c>
      <c r="D39" s="2"/>
      <c r="E39" s="8">
        <v>800</v>
      </c>
      <c r="F39" s="2" t="s">
        <v>1</v>
      </c>
      <c r="G39" s="3" t="s">
        <v>441</v>
      </c>
      <c r="H39" s="11"/>
      <c r="I39" s="19" t="s">
        <v>547</v>
      </c>
      <c r="J39" s="20" t="s">
        <v>548</v>
      </c>
    </row>
    <row r="40" spans="2:10">
      <c r="B40" s="2" t="s">
        <v>307</v>
      </c>
      <c r="C40" s="2" t="s">
        <v>49</v>
      </c>
      <c r="D40" s="2"/>
      <c r="E40" s="8">
        <v>900</v>
      </c>
      <c r="F40" s="2" t="s">
        <v>1</v>
      </c>
      <c r="G40" s="3" t="s">
        <v>443</v>
      </c>
      <c r="H40" s="11"/>
      <c r="I40" s="19" t="s">
        <v>549</v>
      </c>
      <c r="J40" s="20" t="s">
        <v>550</v>
      </c>
    </row>
    <row r="41" spans="2:10">
      <c r="B41" s="2" t="s">
        <v>308</v>
      </c>
      <c r="C41" s="2" t="s">
        <v>50</v>
      </c>
      <c r="D41" s="2"/>
      <c r="E41" s="8">
        <v>590</v>
      </c>
      <c r="F41" s="2" t="s">
        <v>1</v>
      </c>
      <c r="G41" s="3" t="s">
        <v>442</v>
      </c>
      <c r="H41" s="11"/>
      <c r="I41" s="19" t="s">
        <v>551</v>
      </c>
      <c r="J41" s="20" t="s">
        <v>552</v>
      </c>
    </row>
    <row r="42" spans="2:10">
      <c r="B42" s="2" t="s">
        <v>309</v>
      </c>
      <c r="C42" s="2" t="s">
        <v>51</v>
      </c>
      <c r="D42" s="2"/>
      <c r="F42" s="2"/>
      <c r="G42" s="3" t="s">
        <v>443</v>
      </c>
      <c r="H42" s="11"/>
      <c r="I42" s="19" t="s">
        <v>553</v>
      </c>
      <c r="J42" s="20" t="s">
        <v>554</v>
      </c>
    </row>
    <row r="43" spans="2:10">
      <c r="B43" s="2" t="s">
        <v>310</v>
      </c>
      <c r="C43" s="2" t="s">
        <v>52</v>
      </c>
      <c r="D43" s="2"/>
      <c r="F43" s="2"/>
      <c r="G43" s="3" t="s">
        <v>443</v>
      </c>
      <c r="H43" s="11"/>
      <c r="I43" s="19" t="s">
        <v>555</v>
      </c>
      <c r="J43" s="20" t="s">
        <v>556</v>
      </c>
    </row>
    <row r="44" spans="2:10">
      <c r="B44" s="2" t="s">
        <v>311</v>
      </c>
      <c r="C44" s="2" t="s">
        <v>53</v>
      </c>
      <c r="D44" s="2"/>
      <c r="E44" s="8">
        <v>530</v>
      </c>
      <c r="F44" s="2" t="s">
        <v>173</v>
      </c>
      <c r="G44" s="3" t="s">
        <v>443</v>
      </c>
      <c r="H44" s="11"/>
      <c r="I44" s="19" t="s">
        <v>557</v>
      </c>
      <c r="J44" s="20" t="s">
        <v>558</v>
      </c>
    </row>
    <row r="45" spans="2:10">
      <c r="B45" s="2" t="s">
        <v>312</v>
      </c>
      <c r="C45" s="2" t="s">
        <v>54</v>
      </c>
      <c r="D45" s="2"/>
      <c r="F45" s="2"/>
      <c r="G45" s="3" t="s">
        <v>443</v>
      </c>
      <c r="H45" s="11"/>
      <c r="I45" s="19" t="s">
        <v>559</v>
      </c>
      <c r="J45" s="20" t="s">
        <v>560</v>
      </c>
    </row>
    <row r="46" spans="2:10">
      <c r="B46" s="2" t="s">
        <v>313</v>
      </c>
      <c r="C46" s="2" t="s">
        <v>55</v>
      </c>
      <c r="D46" s="2"/>
      <c r="E46" s="8">
        <v>420</v>
      </c>
      <c r="F46" s="2" t="s">
        <v>7</v>
      </c>
      <c r="G46" s="3" t="s">
        <v>443</v>
      </c>
      <c r="H46" s="11"/>
      <c r="I46" s="19" t="s">
        <v>561</v>
      </c>
      <c r="J46" s="20" t="s">
        <v>562</v>
      </c>
    </row>
    <row r="47" spans="2:10">
      <c r="B47" s="2" t="s">
        <v>314</v>
      </c>
      <c r="C47" s="2" t="s">
        <v>56</v>
      </c>
      <c r="D47" s="2"/>
      <c r="E47" s="8">
        <v>450</v>
      </c>
      <c r="F47" s="2" t="s">
        <v>7</v>
      </c>
      <c r="G47" s="3" t="s">
        <v>444</v>
      </c>
      <c r="H47" s="11"/>
      <c r="I47" s="19" t="s">
        <v>563</v>
      </c>
      <c r="J47" s="20" t="s">
        <v>564</v>
      </c>
    </row>
    <row r="48" spans="2:10">
      <c r="B48" s="2" t="s">
        <v>315</v>
      </c>
      <c r="C48" s="2" t="s">
        <v>57</v>
      </c>
      <c r="D48" s="2"/>
      <c r="E48" s="8">
        <v>290</v>
      </c>
      <c r="F48" s="2" t="s">
        <v>7</v>
      </c>
      <c r="G48" s="3" t="s">
        <v>444</v>
      </c>
      <c r="H48" s="11"/>
      <c r="I48" s="19" t="s">
        <v>565</v>
      </c>
      <c r="J48" s="20" t="s">
        <v>566</v>
      </c>
    </row>
    <row r="49" spans="2:10">
      <c r="B49" s="2" t="s">
        <v>316</v>
      </c>
      <c r="C49" s="2" t="s">
        <v>58</v>
      </c>
      <c r="D49" s="2"/>
      <c r="E49" s="8">
        <v>630</v>
      </c>
      <c r="F49" s="2" t="s">
        <v>7</v>
      </c>
      <c r="G49" s="3" t="s">
        <v>444</v>
      </c>
      <c r="H49" s="11"/>
      <c r="I49" s="19" t="s">
        <v>567</v>
      </c>
      <c r="J49" s="20" t="s">
        <v>568</v>
      </c>
    </row>
    <row r="50" spans="2:10">
      <c r="B50" s="2" t="s">
        <v>317</v>
      </c>
      <c r="C50" s="2" t="s">
        <v>59</v>
      </c>
      <c r="D50" s="2"/>
      <c r="E50" s="8">
        <v>270</v>
      </c>
      <c r="F50" s="2" t="s">
        <v>7</v>
      </c>
      <c r="G50" s="3" t="s">
        <v>444</v>
      </c>
      <c r="H50" s="11"/>
      <c r="I50" s="19" t="s">
        <v>569</v>
      </c>
      <c r="J50" s="20" t="s">
        <v>570</v>
      </c>
    </row>
    <row r="51" spans="2:10">
      <c r="B51" s="2" t="s">
        <v>318</v>
      </c>
      <c r="C51" s="2" t="s">
        <v>60</v>
      </c>
      <c r="D51" s="2"/>
      <c r="E51" s="8">
        <v>450</v>
      </c>
      <c r="F51" s="2" t="s">
        <v>7</v>
      </c>
      <c r="G51" s="3" t="s">
        <v>444</v>
      </c>
      <c r="H51" s="11"/>
      <c r="I51" s="19" t="s">
        <v>571</v>
      </c>
      <c r="J51" s="20" t="s">
        <v>572</v>
      </c>
    </row>
    <row r="52" spans="2:10">
      <c r="B52" s="2" t="s">
        <v>319</v>
      </c>
      <c r="C52" s="2" t="s">
        <v>61</v>
      </c>
      <c r="D52" s="2"/>
      <c r="E52" s="8">
        <v>390</v>
      </c>
      <c r="F52" s="2" t="s">
        <v>7</v>
      </c>
      <c r="G52" s="3" t="s">
        <v>444</v>
      </c>
      <c r="H52" s="11"/>
      <c r="I52" s="19" t="s">
        <v>573</v>
      </c>
      <c r="J52" s="20" t="s">
        <v>574</v>
      </c>
    </row>
    <row r="53" spans="2:10">
      <c r="B53" s="2" t="s">
        <v>320</v>
      </c>
      <c r="C53" s="2" t="s">
        <v>62</v>
      </c>
      <c r="D53" s="2"/>
      <c r="E53" s="8">
        <v>550</v>
      </c>
      <c r="F53" s="2" t="s">
        <v>7</v>
      </c>
      <c r="G53" s="3" t="s">
        <v>444</v>
      </c>
      <c r="H53" s="11"/>
      <c r="I53" s="19" t="s">
        <v>575</v>
      </c>
      <c r="J53" s="20" t="s">
        <v>576</v>
      </c>
    </row>
    <row r="54" spans="2:10">
      <c r="B54" s="2" t="s">
        <v>321</v>
      </c>
      <c r="C54" s="2" t="s">
        <v>63</v>
      </c>
      <c r="D54" s="2"/>
      <c r="E54" s="8">
        <v>600</v>
      </c>
      <c r="F54" s="2" t="s">
        <v>7</v>
      </c>
      <c r="G54" s="3" t="s">
        <v>444</v>
      </c>
      <c r="H54" s="11"/>
      <c r="I54" s="19" t="s">
        <v>577</v>
      </c>
      <c r="J54" s="20" t="s">
        <v>578</v>
      </c>
    </row>
    <row r="55" spans="2:10">
      <c r="B55" s="2" t="s">
        <v>322</v>
      </c>
      <c r="C55" s="2" t="s">
        <v>64</v>
      </c>
      <c r="D55" s="2"/>
      <c r="E55" s="8">
        <v>850</v>
      </c>
      <c r="F55" s="2" t="s">
        <v>7</v>
      </c>
      <c r="G55" s="3" t="s">
        <v>444</v>
      </c>
      <c r="H55" s="11"/>
      <c r="I55" s="19" t="s">
        <v>579</v>
      </c>
      <c r="J55" s="20" t="s">
        <v>580</v>
      </c>
    </row>
    <row r="56" spans="2:10">
      <c r="B56" s="2" t="s">
        <v>323</v>
      </c>
      <c r="C56" s="2" t="s">
        <v>65</v>
      </c>
      <c r="D56" s="2"/>
      <c r="E56" s="8">
        <v>650</v>
      </c>
      <c r="F56" s="2" t="s">
        <v>7</v>
      </c>
      <c r="G56" s="3" t="s">
        <v>444</v>
      </c>
      <c r="H56" s="11"/>
      <c r="I56" s="19" t="s">
        <v>581</v>
      </c>
      <c r="J56" s="20" t="s">
        <v>582</v>
      </c>
    </row>
    <row r="57" spans="2:10">
      <c r="B57" s="2" t="s">
        <v>324</v>
      </c>
      <c r="C57" s="2" t="s">
        <v>66</v>
      </c>
      <c r="D57" s="2"/>
      <c r="E57" s="8">
        <v>950</v>
      </c>
      <c r="F57" s="2" t="s">
        <v>7</v>
      </c>
      <c r="G57" s="3" t="s">
        <v>444</v>
      </c>
      <c r="H57" s="11"/>
      <c r="I57" s="19" t="s">
        <v>583</v>
      </c>
      <c r="J57" s="20" t="s">
        <v>584</v>
      </c>
    </row>
    <row r="58" spans="2:10">
      <c r="B58" s="2" t="s">
        <v>325</v>
      </c>
      <c r="C58" s="2" t="s">
        <v>67</v>
      </c>
      <c r="D58" s="2"/>
      <c r="E58" s="8">
        <v>750</v>
      </c>
      <c r="F58" s="2" t="s">
        <v>7</v>
      </c>
      <c r="G58" s="3" t="s">
        <v>444</v>
      </c>
      <c r="H58" s="11"/>
      <c r="I58" s="19" t="s">
        <v>585</v>
      </c>
      <c r="J58" s="20" t="s">
        <v>586</v>
      </c>
    </row>
    <row r="59" spans="2:10">
      <c r="B59" s="2" t="s">
        <v>326</v>
      </c>
      <c r="C59" s="2" t="s">
        <v>68</v>
      </c>
      <c r="D59" s="2"/>
      <c r="E59" s="8">
        <v>950</v>
      </c>
      <c r="F59" s="2" t="s">
        <v>7</v>
      </c>
      <c r="G59" s="3" t="s">
        <v>444</v>
      </c>
      <c r="H59" s="11"/>
      <c r="I59" s="19" t="s">
        <v>587</v>
      </c>
      <c r="J59" s="20" t="s">
        <v>588</v>
      </c>
    </row>
    <row r="60" spans="2:10">
      <c r="B60" s="2" t="s">
        <v>327</v>
      </c>
      <c r="C60" s="2" t="s">
        <v>69</v>
      </c>
      <c r="D60" s="2"/>
      <c r="E60" s="8">
        <v>650</v>
      </c>
      <c r="F60" s="2" t="s">
        <v>7</v>
      </c>
      <c r="G60" s="3" t="s">
        <v>444</v>
      </c>
      <c r="H60" s="11"/>
      <c r="I60" s="19" t="s">
        <v>589</v>
      </c>
      <c r="J60" s="20" t="s">
        <v>590</v>
      </c>
    </row>
    <row r="61" spans="2:10">
      <c r="B61" s="2" t="s">
        <v>328</v>
      </c>
      <c r="C61" s="2" t="s">
        <v>70</v>
      </c>
      <c r="D61" s="2"/>
      <c r="F61" s="2"/>
      <c r="G61" s="3" t="s">
        <v>444</v>
      </c>
      <c r="H61" s="11"/>
      <c r="I61" s="19" t="s">
        <v>591</v>
      </c>
      <c r="J61" s="20" t="s">
        <v>592</v>
      </c>
    </row>
    <row r="62" spans="2:10">
      <c r="B62" s="2" t="s">
        <v>329</v>
      </c>
      <c r="C62" s="2" t="s">
        <v>419</v>
      </c>
      <c r="D62" s="2"/>
      <c r="E62" s="8">
        <v>690</v>
      </c>
      <c r="F62" s="2" t="s">
        <v>186</v>
      </c>
      <c r="G62" s="3" t="s">
        <v>444</v>
      </c>
      <c r="H62" s="11"/>
      <c r="I62" s="19" t="s">
        <v>593</v>
      </c>
      <c r="J62" s="20" t="s">
        <v>594</v>
      </c>
    </row>
    <row r="63" spans="2:10">
      <c r="B63" s="2" t="s">
        <v>331</v>
      </c>
      <c r="C63" s="2" t="s">
        <v>330</v>
      </c>
      <c r="D63" s="2"/>
      <c r="E63" s="8">
        <v>650</v>
      </c>
      <c r="F63" s="2" t="s">
        <v>186</v>
      </c>
      <c r="G63" s="3" t="s">
        <v>444</v>
      </c>
      <c r="H63" s="11"/>
      <c r="I63" s="19" t="s">
        <v>595</v>
      </c>
      <c r="J63" s="20" t="s">
        <v>596</v>
      </c>
    </row>
    <row r="64" spans="2:10">
      <c r="B64" s="2" t="s">
        <v>333</v>
      </c>
      <c r="C64" s="2" t="s">
        <v>332</v>
      </c>
      <c r="D64" s="2"/>
      <c r="E64" s="8">
        <v>650</v>
      </c>
      <c r="F64" s="2" t="s">
        <v>186</v>
      </c>
      <c r="G64" s="3" t="s">
        <v>444</v>
      </c>
      <c r="H64" s="11"/>
      <c r="I64" s="19" t="s">
        <v>597</v>
      </c>
      <c r="J64" s="20" t="s">
        <v>598</v>
      </c>
    </row>
    <row r="65" spans="2:10">
      <c r="B65" s="2" t="s">
        <v>335</v>
      </c>
      <c r="C65" s="2" t="s">
        <v>334</v>
      </c>
      <c r="D65" s="2"/>
      <c r="E65" s="8">
        <v>650</v>
      </c>
      <c r="F65" s="2" t="s">
        <v>186</v>
      </c>
      <c r="G65" s="3" t="s">
        <v>444</v>
      </c>
      <c r="H65" s="11"/>
      <c r="I65" s="19" t="s">
        <v>599</v>
      </c>
      <c r="J65" s="20" t="s">
        <v>600</v>
      </c>
    </row>
    <row r="66" spans="2:10">
      <c r="B66" s="2" t="s">
        <v>337</v>
      </c>
      <c r="C66" s="2" t="s">
        <v>336</v>
      </c>
      <c r="D66" s="2"/>
      <c r="E66" s="8">
        <v>750</v>
      </c>
      <c r="F66" s="2" t="s">
        <v>186</v>
      </c>
      <c r="G66" s="3" t="s">
        <v>444</v>
      </c>
      <c r="H66" s="11"/>
      <c r="I66" s="19" t="s">
        <v>601</v>
      </c>
      <c r="J66" s="20" t="s">
        <v>602</v>
      </c>
    </row>
    <row r="67" spans="2:10">
      <c r="B67" s="2" t="s">
        <v>338</v>
      </c>
      <c r="C67" s="2" t="s">
        <v>71</v>
      </c>
      <c r="D67" s="2"/>
      <c r="E67" s="8">
        <v>1300</v>
      </c>
      <c r="F67" s="2" t="s">
        <v>1</v>
      </c>
      <c r="G67" s="3" t="s">
        <v>444</v>
      </c>
      <c r="H67" s="11"/>
      <c r="I67" s="19" t="s">
        <v>603</v>
      </c>
      <c r="J67" s="20" t="s">
        <v>604</v>
      </c>
    </row>
    <row r="68" spans="2:10">
      <c r="B68" s="2" t="s">
        <v>339</v>
      </c>
      <c r="C68" s="2" t="s">
        <v>72</v>
      </c>
      <c r="D68" s="2"/>
      <c r="E68" s="8">
        <v>950</v>
      </c>
      <c r="F68" s="2" t="s">
        <v>1</v>
      </c>
      <c r="G68" s="3" t="s">
        <v>444</v>
      </c>
      <c r="H68" s="11"/>
      <c r="I68" s="19" t="s">
        <v>605</v>
      </c>
      <c r="J68" s="20" t="s">
        <v>606</v>
      </c>
    </row>
    <row r="69" spans="2:10">
      <c r="B69" s="2" t="s">
        <v>340</v>
      </c>
      <c r="C69" s="2" t="s">
        <v>73</v>
      </c>
      <c r="D69" s="2"/>
      <c r="E69" s="8">
        <v>450</v>
      </c>
      <c r="F69" s="2" t="s">
        <v>1</v>
      </c>
      <c r="G69" s="3" t="s">
        <v>444</v>
      </c>
      <c r="H69" s="11"/>
      <c r="I69" s="19" t="s">
        <v>607</v>
      </c>
      <c r="J69" s="20" t="s">
        <v>608</v>
      </c>
    </row>
    <row r="70" spans="2:10">
      <c r="B70" s="2" t="s">
        <v>341</v>
      </c>
      <c r="C70" s="2" t="s">
        <v>74</v>
      </c>
      <c r="D70" s="2"/>
      <c r="E70" s="8">
        <v>650</v>
      </c>
      <c r="F70" s="2" t="s">
        <v>1</v>
      </c>
      <c r="G70" s="3" t="s">
        <v>444</v>
      </c>
      <c r="H70" s="11"/>
      <c r="I70" s="19" t="s">
        <v>609</v>
      </c>
      <c r="J70" s="20" t="s">
        <v>610</v>
      </c>
    </row>
    <row r="71" spans="2:10">
      <c r="B71" s="2" t="s">
        <v>342</v>
      </c>
      <c r="C71" s="2" t="s">
        <v>75</v>
      </c>
      <c r="D71" s="2"/>
      <c r="E71" s="8">
        <v>675</v>
      </c>
      <c r="F71" s="2" t="s">
        <v>2</v>
      </c>
      <c r="G71" s="3" t="s">
        <v>444</v>
      </c>
      <c r="H71" s="11"/>
      <c r="I71" s="19" t="s">
        <v>611</v>
      </c>
      <c r="J71" s="20" t="s">
        <v>612</v>
      </c>
    </row>
    <row r="72" spans="2:10">
      <c r="B72" s="2" t="s">
        <v>343</v>
      </c>
      <c r="C72" s="2" t="s">
        <v>76</v>
      </c>
      <c r="D72" s="2"/>
      <c r="E72" s="8">
        <v>1300</v>
      </c>
      <c r="F72" s="2" t="s">
        <v>1</v>
      </c>
      <c r="G72" s="3" t="s">
        <v>444</v>
      </c>
      <c r="H72" s="11"/>
      <c r="I72" s="19" t="s">
        <v>613</v>
      </c>
      <c r="J72" s="20" t="s">
        <v>614</v>
      </c>
    </row>
    <row r="73" spans="2:10">
      <c r="B73" s="2" t="s">
        <v>344</v>
      </c>
      <c r="C73" s="2" t="s">
        <v>77</v>
      </c>
      <c r="D73" s="2"/>
      <c r="E73" s="8">
        <v>700</v>
      </c>
      <c r="F73" s="2" t="s">
        <v>1</v>
      </c>
      <c r="G73" s="3" t="s">
        <v>444</v>
      </c>
      <c r="H73" s="11"/>
      <c r="I73" s="19" t="s">
        <v>615</v>
      </c>
      <c r="J73" s="20" t="s">
        <v>616</v>
      </c>
    </row>
    <row r="74" spans="2:10">
      <c r="B74" s="2" t="s">
        <v>437</v>
      </c>
      <c r="C74" s="2" t="s">
        <v>78</v>
      </c>
      <c r="D74" s="2"/>
      <c r="E74" s="8">
        <v>290</v>
      </c>
      <c r="F74" s="2" t="s">
        <v>1</v>
      </c>
      <c r="G74" s="3" t="s">
        <v>445</v>
      </c>
      <c r="H74" s="11"/>
      <c r="I74" s="19" t="s">
        <v>617</v>
      </c>
      <c r="J74" s="20" t="s">
        <v>618</v>
      </c>
    </row>
    <row r="75" spans="2:10">
      <c r="B75" s="2" t="s">
        <v>345</v>
      </c>
      <c r="C75" s="2" t="s">
        <v>79</v>
      </c>
      <c r="D75" s="2"/>
      <c r="E75" s="8">
        <v>950</v>
      </c>
      <c r="F75" s="2" t="s">
        <v>1</v>
      </c>
      <c r="G75" s="3" t="s">
        <v>445</v>
      </c>
      <c r="H75" s="11"/>
      <c r="I75" s="19" t="s">
        <v>619</v>
      </c>
      <c r="J75" s="20" t="s">
        <v>620</v>
      </c>
    </row>
    <row r="76" spans="2:10">
      <c r="B76" s="2" t="s">
        <v>346</v>
      </c>
      <c r="C76" s="2" t="s">
        <v>80</v>
      </c>
      <c r="D76" s="2"/>
      <c r="E76" s="8">
        <v>290</v>
      </c>
      <c r="F76" s="2" t="s">
        <v>1</v>
      </c>
      <c r="G76" s="3" t="s">
        <v>445</v>
      </c>
      <c r="H76" s="11"/>
      <c r="I76" s="19" t="s">
        <v>621</v>
      </c>
      <c r="J76" s="20" t="s">
        <v>622</v>
      </c>
    </row>
    <row r="77" spans="2:10">
      <c r="B77" s="2" t="s">
        <v>347</v>
      </c>
      <c r="C77" s="2" t="s">
        <v>81</v>
      </c>
      <c r="D77" s="2"/>
      <c r="E77" s="8">
        <v>450</v>
      </c>
      <c r="F77" s="2" t="s">
        <v>8</v>
      </c>
      <c r="G77" s="3" t="s">
        <v>445</v>
      </c>
      <c r="H77" s="11"/>
      <c r="I77" s="19" t="s">
        <v>623</v>
      </c>
      <c r="J77" s="20" t="s">
        <v>624</v>
      </c>
    </row>
    <row r="78" spans="2:10">
      <c r="B78" s="2" t="s">
        <v>434</v>
      </c>
      <c r="C78" s="2" t="s">
        <v>82</v>
      </c>
      <c r="D78" s="2"/>
      <c r="E78" s="8">
        <v>1200</v>
      </c>
      <c r="F78" s="2" t="s">
        <v>1</v>
      </c>
      <c r="G78" s="3" t="s">
        <v>445</v>
      </c>
      <c r="H78" s="11"/>
      <c r="I78" s="19" t="s">
        <v>625</v>
      </c>
      <c r="J78" s="20" t="s">
        <v>626</v>
      </c>
    </row>
    <row r="79" spans="2:10">
      <c r="B79" s="2" t="s">
        <v>348</v>
      </c>
      <c r="C79" s="2" t="s">
        <v>83</v>
      </c>
      <c r="D79" s="2"/>
      <c r="E79" s="8">
        <v>1200</v>
      </c>
      <c r="F79" s="2" t="s">
        <v>1</v>
      </c>
      <c r="G79" s="3" t="s">
        <v>445</v>
      </c>
      <c r="H79" s="11"/>
      <c r="I79" s="19" t="s">
        <v>627</v>
      </c>
      <c r="J79" s="20" t="s">
        <v>628</v>
      </c>
    </row>
    <row r="80" spans="2:10">
      <c r="B80" s="2" t="s">
        <v>438</v>
      </c>
      <c r="C80" s="2" t="s">
        <v>84</v>
      </c>
      <c r="D80" s="2"/>
      <c r="E80" s="8">
        <v>399</v>
      </c>
      <c r="F80" s="2" t="s">
        <v>1</v>
      </c>
      <c r="G80" s="3" t="s">
        <v>445</v>
      </c>
      <c r="H80" s="11"/>
      <c r="I80" s="19" t="s">
        <v>629</v>
      </c>
      <c r="J80" s="20" t="s">
        <v>630</v>
      </c>
    </row>
    <row r="81" spans="2:10">
      <c r="B81" s="2" t="s">
        <v>349</v>
      </c>
      <c r="C81" s="2" t="s">
        <v>85</v>
      </c>
      <c r="D81" s="2"/>
      <c r="E81" s="8">
        <v>490</v>
      </c>
      <c r="F81" s="2" t="s">
        <v>217</v>
      </c>
      <c r="G81" s="3" t="s">
        <v>446</v>
      </c>
      <c r="H81" s="11"/>
      <c r="I81" s="19" t="s">
        <v>631</v>
      </c>
      <c r="J81" s="20" t="s">
        <v>632</v>
      </c>
    </row>
    <row r="82" spans="2:10">
      <c r="B82" s="2" t="s">
        <v>350</v>
      </c>
      <c r="C82" s="2" t="s">
        <v>86</v>
      </c>
      <c r="D82" s="2"/>
      <c r="E82" s="8">
        <v>350</v>
      </c>
      <c r="F82" s="2" t="s">
        <v>217</v>
      </c>
      <c r="G82" s="3" t="s">
        <v>446</v>
      </c>
      <c r="H82" s="11"/>
      <c r="I82" s="19" t="s">
        <v>633</v>
      </c>
      <c r="J82" s="20" t="s">
        <v>634</v>
      </c>
    </row>
    <row r="83" spans="2:10">
      <c r="B83" s="2" t="s">
        <v>351</v>
      </c>
      <c r="C83" s="2" t="s">
        <v>87</v>
      </c>
      <c r="D83" s="2"/>
      <c r="E83" s="8">
        <v>550</v>
      </c>
      <c r="F83" s="2" t="s">
        <v>217</v>
      </c>
      <c r="G83" s="3" t="s">
        <v>446</v>
      </c>
      <c r="H83" s="11"/>
      <c r="I83" s="19" t="s">
        <v>635</v>
      </c>
      <c r="J83" s="20" t="s">
        <v>636</v>
      </c>
    </row>
    <row r="84" spans="2:10">
      <c r="B84" s="2" t="s">
        <v>352</v>
      </c>
      <c r="C84" s="2" t="s">
        <v>88</v>
      </c>
      <c r="D84" s="2"/>
      <c r="E84" s="8">
        <v>550</v>
      </c>
      <c r="F84" s="2"/>
      <c r="G84" s="3" t="s">
        <v>446</v>
      </c>
      <c r="H84" s="11"/>
      <c r="I84" s="19" t="s">
        <v>637</v>
      </c>
      <c r="J84" s="20" t="s">
        <v>638</v>
      </c>
    </row>
    <row r="85" spans="2:10">
      <c r="B85" s="2" t="s">
        <v>353</v>
      </c>
      <c r="C85" s="2" t="s">
        <v>89</v>
      </c>
      <c r="D85" s="2"/>
      <c r="E85" s="8">
        <v>550</v>
      </c>
      <c r="F85" s="2"/>
      <c r="G85" s="3" t="s">
        <v>446</v>
      </c>
      <c r="H85" s="11"/>
      <c r="I85" s="19" t="s">
        <v>639</v>
      </c>
      <c r="J85" s="20" t="s">
        <v>640</v>
      </c>
    </row>
    <row r="86" spans="2:10">
      <c r="B86" s="2" t="s">
        <v>355</v>
      </c>
      <c r="C86" s="2" t="s">
        <v>354</v>
      </c>
      <c r="D86" s="2"/>
      <c r="E86" s="8">
        <v>450</v>
      </c>
      <c r="F86" s="2" t="s">
        <v>217</v>
      </c>
      <c r="G86" s="3" t="s">
        <v>447</v>
      </c>
      <c r="H86" s="11"/>
      <c r="I86" s="19" t="s">
        <v>641</v>
      </c>
      <c r="J86" s="20" t="s">
        <v>642</v>
      </c>
    </row>
    <row r="87" spans="2:10">
      <c r="B87" s="2" t="s">
        <v>356</v>
      </c>
      <c r="C87" s="2" t="s">
        <v>90</v>
      </c>
      <c r="D87" s="2"/>
      <c r="E87" s="8">
        <v>450</v>
      </c>
      <c r="F87" s="2" t="s">
        <v>217</v>
      </c>
      <c r="G87" s="3" t="s">
        <v>447</v>
      </c>
      <c r="H87" s="11"/>
      <c r="I87" s="19" t="s">
        <v>643</v>
      </c>
      <c r="J87" s="20" t="s">
        <v>644</v>
      </c>
    </row>
    <row r="88" spans="2:10">
      <c r="B88" s="2" t="s">
        <v>357</v>
      </c>
      <c r="C88" s="2" t="s">
        <v>91</v>
      </c>
      <c r="D88" s="2"/>
      <c r="E88" s="8">
        <v>390</v>
      </c>
      <c r="F88" s="2" t="s">
        <v>217</v>
      </c>
      <c r="G88" s="3" t="s">
        <v>447</v>
      </c>
      <c r="H88" s="11"/>
      <c r="I88" s="19" t="s">
        <v>645</v>
      </c>
      <c r="J88" s="20" t="s">
        <v>646</v>
      </c>
    </row>
    <row r="89" spans="2:10">
      <c r="B89" s="2" t="s">
        <v>358</v>
      </c>
      <c r="C89" s="2" t="s">
        <v>92</v>
      </c>
      <c r="D89" s="2"/>
      <c r="E89" s="8">
        <v>390</v>
      </c>
      <c r="F89" s="2" t="s">
        <v>217</v>
      </c>
      <c r="G89" s="3" t="s">
        <v>447</v>
      </c>
      <c r="H89" s="11"/>
      <c r="I89" s="19" t="s">
        <v>647</v>
      </c>
      <c r="J89" s="20" t="s">
        <v>648</v>
      </c>
    </row>
    <row r="90" spans="2:10">
      <c r="B90" s="2" t="s">
        <v>359</v>
      </c>
      <c r="C90" s="2" t="s">
        <v>93</v>
      </c>
      <c r="D90" s="2"/>
      <c r="E90" s="8">
        <v>390</v>
      </c>
      <c r="F90" s="2" t="s">
        <v>217</v>
      </c>
      <c r="G90" s="3" t="s">
        <v>447</v>
      </c>
      <c r="H90" s="11"/>
      <c r="I90" s="19" t="s">
        <v>649</v>
      </c>
      <c r="J90" s="20" t="s">
        <v>650</v>
      </c>
    </row>
    <row r="91" spans="2:10">
      <c r="B91" s="2" t="s">
        <v>360</v>
      </c>
      <c r="C91" s="2" t="s">
        <v>94</v>
      </c>
      <c r="D91" s="2"/>
      <c r="E91" s="8">
        <v>390</v>
      </c>
      <c r="F91" s="2" t="s">
        <v>217</v>
      </c>
      <c r="G91" s="3" t="s">
        <v>447</v>
      </c>
      <c r="H91" s="11"/>
      <c r="I91" s="19" t="s">
        <v>651</v>
      </c>
      <c r="J91" s="20" t="s">
        <v>652</v>
      </c>
    </row>
    <row r="92" spans="2:10">
      <c r="B92" s="2" t="s">
        <v>361</v>
      </c>
      <c r="C92" s="2" t="s">
        <v>95</v>
      </c>
      <c r="D92" s="2"/>
      <c r="E92" s="8">
        <v>450</v>
      </c>
      <c r="F92" s="2" t="s">
        <v>217</v>
      </c>
      <c r="G92" s="3" t="s">
        <v>447</v>
      </c>
      <c r="H92" s="11"/>
      <c r="I92" s="19" t="s">
        <v>653</v>
      </c>
      <c r="J92" s="20" t="s">
        <v>654</v>
      </c>
    </row>
    <row r="93" spans="2:10">
      <c r="B93" s="2" t="s">
        <v>362</v>
      </c>
      <c r="C93" s="2" t="s">
        <v>96</v>
      </c>
      <c r="D93" s="2"/>
      <c r="E93" s="8">
        <v>2500</v>
      </c>
      <c r="F93" s="2" t="s">
        <v>217</v>
      </c>
      <c r="G93" s="3" t="s">
        <v>447</v>
      </c>
      <c r="H93" s="11"/>
      <c r="I93" s="19" t="s">
        <v>655</v>
      </c>
      <c r="J93" s="20" t="s">
        <v>656</v>
      </c>
    </row>
    <row r="94" spans="2:10">
      <c r="B94" s="2" t="s">
        <v>363</v>
      </c>
      <c r="C94" s="2" t="s">
        <v>97</v>
      </c>
      <c r="D94" s="2"/>
      <c r="E94" s="8">
        <v>450</v>
      </c>
      <c r="F94" s="2" t="s">
        <v>217</v>
      </c>
      <c r="G94" s="3" t="s">
        <v>447</v>
      </c>
      <c r="H94" s="11"/>
      <c r="I94" s="19" t="s">
        <v>657</v>
      </c>
      <c r="J94" s="20" t="s">
        <v>658</v>
      </c>
    </row>
    <row r="95" spans="2:10">
      <c r="B95" s="2" t="s">
        <v>364</v>
      </c>
      <c r="C95" s="2" t="s">
        <v>98</v>
      </c>
      <c r="D95" s="2"/>
      <c r="E95" s="8">
        <v>390</v>
      </c>
      <c r="F95" s="2" t="s">
        <v>217</v>
      </c>
      <c r="G95" s="3" t="s">
        <v>447</v>
      </c>
      <c r="H95" s="11"/>
      <c r="I95" s="19" t="s">
        <v>659</v>
      </c>
      <c r="J95" s="20" t="s">
        <v>660</v>
      </c>
    </row>
    <row r="96" spans="2:10">
      <c r="B96" s="2" t="s">
        <v>365</v>
      </c>
      <c r="C96" s="2" t="s">
        <v>99</v>
      </c>
      <c r="D96" s="2"/>
      <c r="E96" s="8">
        <v>550</v>
      </c>
      <c r="F96" s="2" t="s">
        <v>217</v>
      </c>
      <c r="G96" s="3" t="s">
        <v>447</v>
      </c>
      <c r="H96" s="11"/>
      <c r="I96" s="19" t="s">
        <v>661</v>
      </c>
      <c r="J96" s="20" t="s">
        <v>662</v>
      </c>
    </row>
    <row r="97" spans="2:10">
      <c r="B97" s="2" t="s">
        <v>384</v>
      </c>
      <c r="C97" s="2" t="s">
        <v>100</v>
      </c>
      <c r="D97" s="2"/>
      <c r="E97" s="8">
        <v>550</v>
      </c>
      <c r="F97" s="2" t="s">
        <v>217</v>
      </c>
      <c r="G97" s="3" t="s">
        <v>447</v>
      </c>
      <c r="H97" s="11"/>
      <c r="I97" s="19" t="s">
        <v>663</v>
      </c>
      <c r="J97" s="20" t="s">
        <v>664</v>
      </c>
    </row>
    <row r="98" spans="2:10">
      <c r="B98" s="2" t="s">
        <v>385</v>
      </c>
      <c r="C98" s="2" t="s">
        <v>101</v>
      </c>
      <c r="D98" s="2"/>
      <c r="E98" s="8">
        <v>390</v>
      </c>
      <c r="F98" s="2" t="s">
        <v>217</v>
      </c>
      <c r="G98" s="3" t="s">
        <v>447</v>
      </c>
      <c r="H98" s="11"/>
      <c r="I98" s="19" t="s">
        <v>665</v>
      </c>
      <c r="J98" s="20" t="s">
        <v>666</v>
      </c>
    </row>
    <row r="99" spans="2:10">
      <c r="B99" s="2" t="s">
        <v>386</v>
      </c>
      <c r="C99" s="2" t="s">
        <v>102</v>
      </c>
      <c r="D99" s="2"/>
      <c r="E99" s="8">
        <v>1100</v>
      </c>
      <c r="F99" s="2"/>
      <c r="G99" s="3" t="s">
        <v>447</v>
      </c>
      <c r="H99" s="11"/>
      <c r="I99" s="19" t="s">
        <v>667</v>
      </c>
      <c r="J99" s="20" t="s">
        <v>668</v>
      </c>
    </row>
    <row r="100" spans="2:10">
      <c r="B100" s="2" t="s">
        <v>366</v>
      </c>
      <c r="C100" s="2" t="s">
        <v>420</v>
      </c>
      <c r="D100" s="2"/>
      <c r="E100" s="8">
        <v>269</v>
      </c>
      <c r="F100" s="2" t="s">
        <v>217</v>
      </c>
      <c r="G100" s="3" t="s">
        <v>448</v>
      </c>
      <c r="H100" s="11"/>
      <c r="I100" s="19" t="s">
        <v>669</v>
      </c>
      <c r="J100" s="20" t="s">
        <v>670</v>
      </c>
    </row>
    <row r="101" spans="2:10">
      <c r="B101" s="2" t="s">
        <v>367</v>
      </c>
      <c r="C101" s="2" t="s">
        <v>421</v>
      </c>
      <c r="D101" s="2"/>
      <c r="E101" s="8">
        <v>390</v>
      </c>
      <c r="F101" s="2" t="s">
        <v>217</v>
      </c>
      <c r="G101" s="3" t="s">
        <v>448</v>
      </c>
      <c r="H101" s="11"/>
      <c r="I101" s="19" t="s">
        <v>671</v>
      </c>
      <c r="J101" s="20" t="s">
        <v>672</v>
      </c>
    </row>
    <row r="102" spans="2:10">
      <c r="B102" s="2" t="s">
        <v>368</v>
      </c>
      <c r="C102" s="2" t="s">
        <v>103</v>
      </c>
      <c r="D102" s="2"/>
      <c r="E102" s="8">
        <v>390</v>
      </c>
      <c r="F102" s="2" t="s">
        <v>217</v>
      </c>
      <c r="G102" s="3" t="s">
        <v>448</v>
      </c>
      <c r="H102" s="11"/>
      <c r="I102" s="19" t="s">
        <v>673</v>
      </c>
      <c r="J102" s="20" t="s">
        <v>674</v>
      </c>
    </row>
    <row r="103" spans="2:10">
      <c r="B103" s="2" t="s">
        <v>369</v>
      </c>
      <c r="C103" s="2" t="s">
        <v>104</v>
      </c>
      <c r="D103" s="2"/>
      <c r="F103" s="2"/>
      <c r="G103" s="3" t="s">
        <v>448</v>
      </c>
      <c r="H103" s="11"/>
      <c r="I103" s="19" t="s">
        <v>675</v>
      </c>
      <c r="J103" s="20" t="s">
        <v>676</v>
      </c>
    </row>
    <row r="104" spans="2:10">
      <c r="B104" s="2" t="s">
        <v>370</v>
      </c>
      <c r="C104" s="2" t="s">
        <v>105</v>
      </c>
      <c r="D104" s="2"/>
      <c r="E104" s="8">
        <v>950</v>
      </c>
      <c r="F104" s="2" t="s">
        <v>217</v>
      </c>
      <c r="G104" s="3" t="s">
        <v>448</v>
      </c>
      <c r="H104" s="11"/>
      <c r="I104" s="19" t="s">
        <v>677</v>
      </c>
      <c r="J104" s="20" t="s">
        <v>678</v>
      </c>
    </row>
    <row r="105" spans="2:10">
      <c r="B105" s="2" t="s">
        <v>371</v>
      </c>
      <c r="C105" s="2" t="s">
        <v>106</v>
      </c>
      <c r="D105" s="2"/>
      <c r="E105" s="8">
        <v>650</v>
      </c>
      <c r="F105" s="2" t="s">
        <v>217</v>
      </c>
      <c r="G105" s="3" t="s">
        <v>448</v>
      </c>
      <c r="H105" s="11"/>
      <c r="I105" s="19" t="s">
        <v>679</v>
      </c>
      <c r="J105" s="20" t="s">
        <v>680</v>
      </c>
    </row>
    <row r="106" spans="2:10">
      <c r="B106" s="2" t="s">
        <v>372</v>
      </c>
      <c r="C106" s="2" t="s">
        <v>107</v>
      </c>
      <c r="D106" s="2"/>
      <c r="E106" s="8">
        <v>750</v>
      </c>
      <c r="F106" s="2" t="s">
        <v>217</v>
      </c>
      <c r="G106" s="3" t="s">
        <v>449</v>
      </c>
      <c r="H106" s="11"/>
      <c r="I106" s="19" t="s">
        <v>681</v>
      </c>
      <c r="J106" s="20" t="s">
        <v>682</v>
      </c>
    </row>
    <row r="107" spans="2:10">
      <c r="B107" s="2" t="s">
        <v>373</v>
      </c>
      <c r="C107" s="2" t="s">
        <v>108</v>
      </c>
      <c r="D107" s="2"/>
      <c r="E107" s="8">
        <v>420</v>
      </c>
      <c r="F107" s="2" t="s">
        <v>217</v>
      </c>
      <c r="G107" s="3" t="s">
        <v>449</v>
      </c>
      <c r="H107" s="11"/>
      <c r="I107" s="19" t="s">
        <v>683</v>
      </c>
      <c r="J107" s="20" t="s">
        <v>684</v>
      </c>
    </row>
    <row r="108" spans="2:10">
      <c r="B108" s="2" t="s">
        <v>374</v>
      </c>
      <c r="C108" s="2" t="s">
        <v>109</v>
      </c>
      <c r="D108" s="2"/>
      <c r="E108" s="8">
        <v>550</v>
      </c>
      <c r="F108" s="2" t="s">
        <v>217</v>
      </c>
      <c r="G108" s="3" t="s">
        <v>449</v>
      </c>
      <c r="H108" s="11"/>
      <c r="I108" s="19" t="s">
        <v>685</v>
      </c>
      <c r="J108" s="20" t="s">
        <v>686</v>
      </c>
    </row>
    <row r="109" spans="2:10">
      <c r="B109" s="2" t="s">
        <v>375</v>
      </c>
      <c r="C109" s="2" t="s">
        <v>110</v>
      </c>
      <c r="D109" s="2"/>
      <c r="E109" s="8">
        <v>550</v>
      </c>
      <c r="F109" s="2" t="s">
        <v>217</v>
      </c>
      <c r="G109" s="3" t="s">
        <v>449</v>
      </c>
      <c r="H109" s="11"/>
      <c r="I109" s="19" t="s">
        <v>687</v>
      </c>
      <c r="J109" s="20" t="s">
        <v>688</v>
      </c>
    </row>
    <row r="110" spans="2:10" ht="12" customHeight="1">
      <c r="B110" s="2" t="s">
        <v>376</v>
      </c>
      <c r="C110" s="2" t="s">
        <v>111</v>
      </c>
      <c r="D110" s="2"/>
      <c r="E110" s="8">
        <v>350</v>
      </c>
      <c r="F110" s="2" t="s">
        <v>217</v>
      </c>
      <c r="G110" s="3" t="s">
        <v>450</v>
      </c>
      <c r="H110" s="11"/>
      <c r="I110" s="19" t="s">
        <v>689</v>
      </c>
      <c r="J110" s="20" t="s">
        <v>690</v>
      </c>
    </row>
    <row r="111" spans="2:10">
      <c r="B111" s="2" t="s">
        <v>377</v>
      </c>
      <c r="C111" s="2" t="s">
        <v>112</v>
      </c>
      <c r="D111" s="2"/>
      <c r="E111" s="8">
        <v>370</v>
      </c>
      <c r="F111" s="2" t="s">
        <v>8</v>
      </c>
      <c r="G111" s="3" t="s">
        <v>450</v>
      </c>
      <c r="H111" s="11"/>
      <c r="I111" s="19" t="s">
        <v>691</v>
      </c>
      <c r="J111" s="20" t="s">
        <v>692</v>
      </c>
    </row>
    <row r="112" spans="2:10">
      <c r="B112" s="2" t="s">
        <v>378</v>
      </c>
      <c r="C112" s="2" t="s">
        <v>113</v>
      </c>
      <c r="D112" s="2"/>
      <c r="E112" s="8">
        <v>290</v>
      </c>
      <c r="F112" s="2" t="s">
        <v>8</v>
      </c>
      <c r="G112" s="3" t="s">
        <v>450</v>
      </c>
      <c r="H112" s="11"/>
      <c r="I112" s="19" t="s">
        <v>693</v>
      </c>
      <c r="J112" s="20" t="s">
        <v>694</v>
      </c>
    </row>
    <row r="113" spans="2:10">
      <c r="B113" s="2" t="s">
        <v>379</v>
      </c>
      <c r="C113" s="2" t="s">
        <v>114</v>
      </c>
      <c r="D113" s="2"/>
      <c r="E113" s="8">
        <v>450</v>
      </c>
      <c r="F113" s="2" t="s">
        <v>8</v>
      </c>
      <c r="G113" s="3" t="s">
        <v>451</v>
      </c>
      <c r="H113" s="11"/>
      <c r="I113" s="19" t="s">
        <v>695</v>
      </c>
      <c r="J113" s="20" t="s">
        <v>696</v>
      </c>
    </row>
    <row r="114" spans="2:10">
      <c r="B114" s="2" t="s">
        <v>380</v>
      </c>
      <c r="C114" s="2" t="s">
        <v>115</v>
      </c>
      <c r="D114" s="2"/>
      <c r="E114" s="8">
        <v>0</v>
      </c>
      <c r="F114" s="2"/>
      <c r="G114" s="3" t="s">
        <v>451</v>
      </c>
      <c r="H114" s="11"/>
      <c r="I114" s="19" t="s">
        <v>697</v>
      </c>
      <c r="J114" s="20" t="s">
        <v>698</v>
      </c>
    </row>
    <row r="115" spans="2:10">
      <c r="B115" s="2" t="s">
        <v>381</v>
      </c>
      <c r="C115" s="2" t="s">
        <v>116</v>
      </c>
      <c r="D115" s="2"/>
      <c r="E115" s="8">
        <v>450</v>
      </c>
      <c r="F115" s="2" t="s">
        <v>117</v>
      </c>
      <c r="G115" s="3" t="s">
        <v>451</v>
      </c>
      <c r="H115" s="11"/>
      <c r="I115" s="19" t="s">
        <v>699</v>
      </c>
      <c r="J115" s="20" t="s">
        <v>700</v>
      </c>
    </row>
    <row r="116" spans="2:10">
      <c r="B116" s="2" t="s">
        <v>382</v>
      </c>
      <c r="C116" s="2" t="s">
        <v>118</v>
      </c>
      <c r="D116" s="2"/>
      <c r="E116" s="8">
        <v>380</v>
      </c>
      <c r="F116" s="2" t="s">
        <v>119</v>
      </c>
      <c r="G116" s="3" t="s">
        <v>451</v>
      </c>
      <c r="H116" s="11"/>
      <c r="I116" s="19" t="s">
        <v>701</v>
      </c>
      <c r="J116" s="20" t="s">
        <v>702</v>
      </c>
    </row>
    <row r="117" spans="2:10">
      <c r="B117" s="2" t="s">
        <v>383</v>
      </c>
      <c r="C117" s="2" t="s">
        <v>120</v>
      </c>
      <c r="D117" s="2"/>
      <c r="E117" s="8">
        <v>190</v>
      </c>
      <c r="F117" s="2" t="s">
        <v>1</v>
      </c>
      <c r="G117" s="3" t="s">
        <v>451</v>
      </c>
      <c r="H117" s="11"/>
      <c r="I117" s="19" t="s">
        <v>703</v>
      </c>
      <c r="J117" s="20" t="s">
        <v>704</v>
      </c>
    </row>
    <row r="118" spans="2:10">
      <c r="B118" s="2" t="s">
        <v>387</v>
      </c>
      <c r="C118" s="2" t="s">
        <v>121</v>
      </c>
      <c r="D118" s="2"/>
      <c r="E118" s="8">
        <v>450</v>
      </c>
      <c r="F118" s="2" t="s">
        <v>1</v>
      </c>
      <c r="G118" s="3" t="s">
        <v>454</v>
      </c>
      <c r="H118" s="11"/>
      <c r="I118" s="19" t="s">
        <v>705</v>
      </c>
      <c r="J118" s="20" t="s">
        <v>706</v>
      </c>
    </row>
    <row r="119" spans="2:10">
      <c r="B119" s="2" t="s">
        <v>388</v>
      </c>
      <c r="C119" s="2" t="s">
        <v>122</v>
      </c>
      <c r="D119" s="2"/>
      <c r="E119" s="8">
        <v>420</v>
      </c>
      <c r="F119" s="2" t="s">
        <v>1</v>
      </c>
      <c r="G119" s="3" t="s">
        <v>454</v>
      </c>
      <c r="H119" s="11"/>
      <c r="I119" s="19" t="s">
        <v>707</v>
      </c>
      <c r="J119" s="20" t="s">
        <v>708</v>
      </c>
    </row>
    <row r="120" spans="2:10">
      <c r="B120" s="2" t="s">
        <v>389</v>
      </c>
      <c r="C120" s="2" t="s">
        <v>123</v>
      </c>
      <c r="D120" s="2"/>
      <c r="E120" s="8">
        <v>450</v>
      </c>
      <c r="F120" s="2" t="s">
        <v>1</v>
      </c>
      <c r="G120" s="3" t="s">
        <v>452</v>
      </c>
      <c r="H120" s="11"/>
      <c r="I120" s="19" t="s">
        <v>709</v>
      </c>
      <c r="J120" s="20" t="s">
        <v>710</v>
      </c>
    </row>
    <row r="121" spans="2:10">
      <c r="B121" s="2" t="s">
        <v>390</v>
      </c>
      <c r="C121" s="2" t="s">
        <v>124</v>
      </c>
      <c r="D121" s="2"/>
      <c r="E121" s="8">
        <v>490</v>
      </c>
      <c r="F121" s="2" t="s">
        <v>173</v>
      </c>
      <c r="G121" s="3" t="s">
        <v>452</v>
      </c>
      <c r="H121" s="11"/>
      <c r="I121" s="19" t="s">
        <v>711</v>
      </c>
      <c r="J121" s="20" t="s">
        <v>712</v>
      </c>
    </row>
    <row r="122" spans="2:10">
      <c r="B122" s="2" t="s">
        <v>391</v>
      </c>
      <c r="C122" s="2" t="s">
        <v>125</v>
      </c>
      <c r="D122" s="2"/>
      <c r="E122" s="8">
        <v>550</v>
      </c>
      <c r="F122" s="2" t="s">
        <v>1</v>
      </c>
      <c r="G122" s="3" t="s">
        <v>452</v>
      </c>
      <c r="H122" s="11"/>
      <c r="I122" s="19" t="s">
        <v>713</v>
      </c>
      <c r="J122" s="20" t="s">
        <v>714</v>
      </c>
    </row>
    <row r="123" spans="2:10">
      <c r="B123" s="2" t="s">
        <v>392</v>
      </c>
      <c r="C123" s="2" t="s">
        <v>126</v>
      </c>
      <c r="D123" s="2"/>
      <c r="E123" s="8">
        <v>550</v>
      </c>
      <c r="F123" s="2" t="s">
        <v>1</v>
      </c>
      <c r="G123" s="3" t="s">
        <v>452</v>
      </c>
      <c r="H123" s="11"/>
      <c r="I123" s="19" t="s">
        <v>715</v>
      </c>
      <c r="J123" s="20" t="s">
        <v>716</v>
      </c>
    </row>
    <row r="124" spans="2:10">
      <c r="B124" s="2" t="s">
        <v>393</v>
      </c>
      <c r="C124" s="2" t="s">
        <v>127</v>
      </c>
      <c r="D124" s="2"/>
      <c r="E124" s="8">
        <v>450</v>
      </c>
      <c r="F124" s="2" t="s">
        <v>1</v>
      </c>
      <c r="G124" s="3" t="s">
        <v>452</v>
      </c>
      <c r="H124" s="11"/>
      <c r="I124" s="19" t="s">
        <v>717</v>
      </c>
      <c r="J124" s="20" t="s">
        <v>718</v>
      </c>
    </row>
    <row r="125" spans="2:10">
      <c r="B125" s="2" t="s">
        <v>394</v>
      </c>
      <c r="C125" s="2" t="s">
        <v>128</v>
      </c>
      <c r="D125" s="2"/>
      <c r="E125" s="8">
        <v>900</v>
      </c>
      <c r="F125" s="2" t="s">
        <v>8</v>
      </c>
      <c r="G125" s="3" t="s">
        <v>453</v>
      </c>
      <c r="H125" s="11"/>
      <c r="I125" s="19" t="s">
        <v>719</v>
      </c>
      <c r="J125" s="20" t="s">
        <v>720</v>
      </c>
    </row>
    <row r="126" spans="2:10">
      <c r="B126" s="2" t="s">
        <v>395</v>
      </c>
      <c r="C126" s="2" t="s">
        <v>129</v>
      </c>
      <c r="D126" s="2"/>
      <c r="E126" s="8">
        <v>950</v>
      </c>
      <c r="F126" s="2" t="s">
        <v>8</v>
      </c>
      <c r="G126" s="3" t="s">
        <v>453</v>
      </c>
      <c r="H126" s="11"/>
      <c r="I126" s="19" t="s">
        <v>721</v>
      </c>
      <c r="J126" s="20" t="s">
        <v>722</v>
      </c>
    </row>
    <row r="127" spans="2:10">
      <c r="B127" s="2" t="s">
        <v>396</v>
      </c>
      <c r="C127" s="2" t="s">
        <v>130</v>
      </c>
      <c r="D127" s="2"/>
      <c r="E127" s="8">
        <v>70</v>
      </c>
      <c r="F127" s="2" t="s">
        <v>131</v>
      </c>
      <c r="G127" s="3" t="s">
        <v>455</v>
      </c>
      <c r="H127" s="11"/>
      <c r="I127" s="19" t="s">
        <v>723</v>
      </c>
      <c r="J127" s="20" t="s">
        <v>724</v>
      </c>
    </row>
    <row r="128" spans="2:10">
      <c r="B128" s="2" t="s">
        <v>397</v>
      </c>
      <c r="C128" s="2" t="s">
        <v>132</v>
      </c>
      <c r="D128" s="2"/>
      <c r="E128" s="8">
        <v>99</v>
      </c>
      <c r="F128" s="2" t="s">
        <v>133</v>
      </c>
      <c r="G128" s="3" t="s">
        <v>455</v>
      </c>
      <c r="H128" s="11"/>
      <c r="I128" s="19" t="s">
        <v>725</v>
      </c>
      <c r="J128" s="20" t="s">
        <v>726</v>
      </c>
    </row>
    <row r="129" spans="2:10">
      <c r="B129" s="2" t="s">
        <v>398</v>
      </c>
      <c r="C129" s="2" t="s">
        <v>134</v>
      </c>
      <c r="D129" s="2"/>
      <c r="E129" s="8">
        <v>120</v>
      </c>
      <c r="F129" s="2" t="s">
        <v>135</v>
      </c>
      <c r="G129" s="3" t="s">
        <v>455</v>
      </c>
      <c r="H129" s="11"/>
      <c r="I129" s="19" t="s">
        <v>727</v>
      </c>
      <c r="J129" s="20" t="s">
        <v>728</v>
      </c>
    </row>
    <row r="130" spans="2:10">
      <c r="B130" s="2" t="s">
        <v>399</v>
      </c>
      <c r="C130" s="2" t="s">
        <v>136</v>
      </c>
      <c r="D130" s="2"/>
      <c r="E130" s="8">
        <v>100</v>
      </c>
      <c r="F130" s="2" t="s">
        <v>9</v>
      </c>
      <c r="G130" s="3" t="s">
        <v>455</v>
      </c>
      <c r="H130" s="11"/>
      <c r="I130" s="19" t="s">
        <v>729</v>
      </c>
      <c r="J130" s="20" t="s">
        <v>730</v>
      </c>
    </row>
    <row r="131" spans="2:10">
      <c r="B131" s="2" t="s">
        <v>400</v>
      </c>
      <c r="C131" s="2" t="s">
        <v>137</v>
      </c>
      <c r="D131" s="2"/>
      <c r="E131" s="8">
        <v>99</v>
      </c>
      <c r="F131" s="2" t="s">
        <v>10</v>
      </c>
      <c r="G131" s="3" t="s">
        <v>456</v>
      </c>
      <c r="H131" s="11"/>
      <c r="I131" s="19" t="s">
        <v>731</v>
      </c>
      <c r="J131" s="20" t="s">
        <v>732</v>
      </c>
    </row>
    <row r="132" spans="2:10">
      <c r="B132" s="2" t="s">
        <v>401</v>
      </c>
      <c r="C132" s="2" t="s">
        <v>138</v>
      </c>
      <c r="D132" s="2"/>
      <c r="E132" s="8">
        <v>129</v>
      </c>
      <c r="F132" s="2" t="s">
        <v>10</v>
      </c>
      <c r="G132" s="3" t="s">
        <v>456</v>
      </c>
      <c r="H132" s="11"/>
      <c r="I132" s="19" t="s">
        <v>733</v>
      </c>
      <c r="J132" s="20" t="s">
        <v>734</v>
      </c>
    </row>
    <row r="133" spans="2:10">
      <c r="B133" s="2" t="s">
        <v>402</v>
      </c>
      <c r="C133" s="2" t="s">
        <v>139</v>
      </c>
      <c r="D133" s="2"/>
      <c r="E133" s="8">
        <v>150</v>
      </c>
      <c r="F133" s="2"/>
      <c r="G133" s="3" t="s">
        <v>457</v>
      </c>
      <c r="H133" s="11"/>
      <c r="I133" s="19" t="s">
        <v>735</v>
      </c>
      <c r="J133" s="20" t="s">
        <v>736</v>
      </c>
    </row>
    <row r="134" spans="2:10">
      <c r="B134" s="2" t="s">
        <v>403</v>
      </c>
      <c r="C134" s="2" t="s">
        <v>140</v>
      </c>
      <c r="D134" s="2"/>
      <c r="E134" s="8">
        <v>250</v>
      </c>
      <c r="F134" s="2" t="s">
        <v>141</v>
      </c>
      <c r="G134" s="3" t="s">
        <v>458</v>
      </c>
      <c r="H134" s="11"/>
      <c r="I134" s="19" t="s">
        <v>737</v>
      </c>
      <c r="J134" s="20" t="s">
        <v>738</v>
      </c>
    </row>
    <row r="135" spans="2:10">
      <c r="B135" s="2" t="s">
        <v>404</v>
      </c>
      <c r="C135" s="2" t="s">
        <v>142</v>
      </c>
      <c r="D135" s="2"/>
      <c r="E135" s="8">
        <v>250</v>
      </c>
      <c r="F135" s="2" t="s">
        <v>9</v>
      </c>
      <c r="G135" s="3" t="s">
        <v>459</v>
      </c>
      <c r="H135" s="11"/>
      <c r="I135" s="19" t="s">
        <v>739</v>
      </c>
      <c r="J135" s="20" t="s">
        <v>740</v>
      </c>
    </row>
    <row r="136" spans="2:10">
      <c r="B136" s="2" t="s">
        <v>405</v>
      </c>
      <c r="C136" s="2" t="s">
        <v>143</v>
      </c>
      <c r="D136" s="2"/>
      <c r="F136" s="2" t="s">
        <v>11</v>
      </c>
      <c r="G136" s="3" t="s">
        <v>459</v>
      </c>
      <c r="H136" s="11"/>
      <c r="I136" s="19" t="s">
        <v>741</v>
      </c>
      <c r="J136" s="20" t="s">
        <v>742</v>
      </c>
    </row>
    <row r="137" spans="2:10">
      <c r="B137" s="2" t="s">
        <v>406</v>
      </c>
      <c r="C137" s="2" t="s">
        <v>144</v>
      </c>
      <c r="D137" s="2"/>
      <c r="E137" s="8">
        <v>139</v>
      </c>
      <c r="F137" s="2" t="s">
        <v>11</v>
      </c>
      <c r="G137" s="3" t="s">
        <v>459</v>
      </c>
      <c r="H137" s="11"/>
      <c r="I137" s="19" t="s">
        <v>743</v>
      </c>
      <c r="J137" s="20" t="s">
        <v>744</v>
      </c>
    </row>
    <row r="138" spans="2:10">
      <c r="B138" s="2" t="s">
        <v>407</v>
      </c>
      <c r="C138" s="2" t="s">
        <v>423</v>
      </c>
      <c r="D138" s="2"/>
      <c r="F138" s="2"/>
      <c r="G138" s="3" t="s">
        <v>460</v>
      </c>
      <c r="H138" s="11"/>
      <c r="I138" s="19" t="s">
        <v>745</v>
      </c>
      <c r="J138" s="20" t="s">
        <v>746</v>
      </c>
    </row>
    <row r="139" spans="2:10">
      <c r="B139" s="2" t="s">
        <v>408</v>
      </c>
      <c r="C139" s="2" t="s">
        <v>424</v>
      </c>
      <c r="D139" s="2"/>
      <c r="F139" s="2"/>
      <c r="G139" s="3" t="s">
        <v>460</v>
      </c>
      <c r="H139" s="11"/>
      <c r="I139" s="19" t="s">
        <v>747</v>
      </c>
      <c r="J139" s="20" t="s">
        <v>748</v>
      </c>
    </row>
    <row r="140" spans="2:10">
      <c r="B140" s="2" t="s">
        <v>409</v>
      </c>
      <c r="C140" s="2" t="s">
        <v>425</v>
      </c>
      <c r="D140" s="2"/>
      <c r="F140" s="2"/>
      <c r="G140" s="3" t="s">
        <v>460</v>
      </c>
      <c r="H140" s="11"/>
      <c r="I140" s="19" t="s">
        <v>749</v>
      </c>
      <c r="J140" s="20" t="s">
        <v>750</v>
      </c>
    </row>
    <row r="141" spans="2:10">
      <c r="B141" s="2" t="s">
        <v>410</v>
      </c>
      <c r="C141" s="2" t="s">
        <v>426</v>
      </c>
      <c r="D141" s="2"/>
      <c r="F141" s="2"/>
      <c r="G141" s="3" t="s">
        <v>460</v>
      </c>
      <c r="H141" s="11"/>
      <c r="I141" s="19" t="s">
        <v>751</v>
      </c>
      <c r="J141" s="20" t="s">
        <v>752</v>
      </c>
    </row>
    <row r="142" spans="2:10">
      <c r="B142" s="2" t="s">
        <v>411</v>
      </c>
      <c r="C142" s="2" t="s">
        <v>427</v>
      </c>
      <c r="D142" s="2"/>
      <c r="F142" s="2"/>
      <c r="G142" s="3" t="s">
        <v>460</v>
      </c>
      <c r="H142" s="11"/>
      <c r="I142" s="19" t="s">
        <v>753</v>
      </c>
      <c r="J142" s="20" t="s">
        <v>754</v>
      </c>
    </row>
    <row r="143" spans="2:10">
      <c r="B143" s="2" t="s">
        <v>412</v>
      </c>
      <c r="C143" s="2" t="s">
        <v>428</v>
      </c>
      <c r="D143" s="2"/>
      <c r="F143" s="2"/>
      <c r="G143" s="3" t="s">
        <v>460</v>
      </c>
      <c r="H143" s="11"/>
      <c r="I143" s="19" t="s">
        <v>755</v>
      </c>
      <c r="J143" s="20" t="s">
        <v>756</v>
      </c>
    </row>
    <row r="144" spans="2:10">
      <c r="B144" s="2" t="s">
        <v>414</v>
      </c>
      <c r="C144" s="2" t="s">
        <v>462</v>
      </c>
      <c r="D144" s="2"/>
      <c r="E144" s="8">
        <v>380</v>
      </c>
      <c r="F144" s="2"/>
      <c r="G144" s="3" t="s">
        <v>461</v>
      </c>
      <c r="H144" s="11"/>
      <c r="I144" s="19" t="s">
        <v>757</v>
      </c>
      <c r="J144" s="20" t="s">
        <v>758</v>
      </c>
    </row>
    <row r="145" spans="2:10">
      <c r="B145" s="2" t="s">
        <v>415</v>
      </c>
      <c r="C145" s="2" t="s">
        <v>463</v>
      </c>
      <c r="D145" s="2"/>
      <c r="E145" s="8">
        <v>380</v>
      </c>
      <c r="F145" s="2"/>
      <c r="G145" s="3" t="s">
        <v>461</v>
      </c>
      <c r="H145" s="11"/>
      <c r="I145" s="19" t="s">
        <v>759</v>
      </c>
      <c r="J145" s="20" t="s">
        <v>760</v>
      </c>
    </row>
    <row r="146" spans="2:10">
      <c r="B146" s="2" t="s">
        <v>416</v>
      </c>
      <c r="C146" s="2" t="s">
        <v>464</v>
      </c>
      <c r="D146" s="2"/>
      <c r="E146" s="8">
        <v>430</v>
      </c>
      <c r="F146" s="2"/>
      <c r="G146" s="3" t="s">
        <v>461</v>
      </c>
      <c r="H146" s="11"/>
      <c r="I146" s="19" t="s">
        <v>761</v>
      </c>
      <c r="J146" s="20" t="s">
        <v>762</v>
      </c>
    </row>
    <row r="147" spans="2:10">
      <c r="B147" s="2" t="s">
        <v>417</v>
      </c>
      <c r="C147" s="2" t="s">
        <v>465</v>
      </c>
      <c r="D147" s="2"/>
      <c r="E147" s="8">
        <v>430</v>
      </c>
      <c r="F147" s="2"/>
      <c r="G147" s="3" t="s">
        <v>461</v>
      </c>
      <c r="H147" s="11"/>
      <c r="I147" s="19" t="s">
        <v>763</v>
      </c>
      <c r="J147" s="20" t="s">
        <v>764</v>
      </c>
    </row>
    <row r="148" spans="2:10">
      <c r="B148" s="2" t="s">
        <v>836</v>
      </c>
      <c r="C148" s="2" t="s">
        <v>813</v>
      </c>
      <c r="D148" s="2"/>
      <c r="E148" s="8">
        <v>700</v>
      </c>
      <c r="F148" s="2"/>
      <c r="G148" s="3" t="s">
        <v>1012</v>
      </c>
      <c r="H148" s="3"/>
      <c r="I148" s="19" t="s">
        <v>856</v>
      </c>
      <c r="J148" s="20" t="s">
        <v>857</v>
      </c>
    </row>
    <row r="149" spans="2:10">
      <c r="B149" s="2" t="s">
        <v>837</v>
      </c>
      <c r="C149" s="2" t="s">
        <v>814</v>
      </c>
      <c r="D149" s="2"/>
      <c r="E149" s="8">
        <v>350</v>
      </c>
      <c r="F149" s="2"/>
      <c r="G149" s="3" t="s">
        <v>1012</v>
      </c>
      <c r="H149" s="3"/>
      <c r="I149" s="19" t="s">
        <v>858</v>
      </c>
      <c r="J149" s="20" t="s">
        <v>859</v>
      </c>
    </row>
    <row r="150" spans="2:10">
      <c r="B150" s="2" t="s">
        <v>838</v>
      </c>
      <c r="C150" s="2" t="s">
        <v>816</v>
      </c>
      <c r="D150" s="2"/>
      <c r="E150" s="8">
        <v>390</v>
      </c>
      <c r="F150" s="2"/>
      <c r="G150" s="3" t="s">
        <v>1012</v>
      </c>
      <c r="H150" s="3"/>
      <c r="I150" s="19" t="s">
        <v>860</v>
      </c>
      <c r="J150" s="20" t="s">
        <v>861</v>
      </c>
    </row>
    <row r="151" spans="2:10">
      <c r="B151" s="2" t="s">
        <v>839</v>
      </c>
      <c r="C151" s="2" t="s">
        <v>817</v>
      </c>
      <c r="D151" s="2"/>
      <c r="E151" s="8">
        <v>650</v>
      </c>
      <c r="F151" s="2"/>
      <c r="G151" s="3" t="s">
        <v>1012</v>
      </c>
      <c r="H151" s="3"/>
      <c r="I151" s="19" t="s">
        <v>862</v>
      </c>
      <c r="J151" s="20" t="s">
        <v>863</v>
      </c>
    </row>
    <row r="152" spans="2:10">
      <c r="B152" s="2" t="s">
        <v>840</v>
      </c>
      <c r="C152" s="2" t="s">
        <v>818</v>
      </c>
      <c r="D152" s="2"/>
      <c r="E152" s="8">
        <v>980</v>
      </c>
      <c r="F152" s="2"/>
      <c r="G152" s="3" t="s">
        <v>1012</v>
      </c>
      <c r="H152" s="3"/>
      <c r="I152" s="19" t="s">
        <v>864</v>
      </c>
      <c r="J152" s="20" t="s">
        <v>865</v>
      </c>
    </row>
    <row r="153" spans="2:10">
      <c r="B153" s="2" t="s">
        <v>841</v>
      </c>
      <c r="C153" s="2" t="s">
        <v>819</v>
      </c>
      <c r="D153" s="2"/>
      <c r="E153" s="8">
        <v>850</v>
      </c>
      <c r="F153" s="2"/>
      <c r="G153" s="3" t="s">
        <v>1012</v>
      </c>
      <c r="H153" s="3"/>
      <c r="I153" s="19" t="s">
        <v>866</v>
      </c>
      <c r="J153" s="20" t="s">
        <v>867</v>
      </c>
    </row>
    <row r="154" spans="2:10">
      <c r="B154" s="2" t="s">
        <v>842</v>
      </c>
      <c r="C154" s="2" t="s">
        <v>820</v>
      </c>
      <c r="D154" s="2"/>
      <c r="E154" s="8">
        <v>1500</v>
      </c>
      <c r="F154" s="2"/>
      <c r="G154" s="3" t="s">
        <v>1012</v>
      </c>
      <c r="H154" s="3"/>
      <c r="I154" s="19" t="s">
        <v>868</v>
      </c>
      <c r="J154" s="20" t="s">
        <v>869</v>
      </c>
    </row>
    <row r="155" spans="2:10">
      <c r="B155" s="2" t="s">
        <v>843</v>
      </c>
      <c r="C155" s="2" t="s">
        <v>822</v>
      </c>
      <c r="D155" s="2"/>
      <c r="E155" s="8">
        <v>650</v>
      </c>
      <c r="F155" s="2"/>
      <c r="G155" s="3" t="s">
        <v>1012</v>
      </c>
      <c r="H155" s="3"/>
      <c r="I155" s="19" t="s">
        <v>870</v>
      </c>
      <c r="J155" s="20" t="s">
        <v>871</v>
      </c>
    </row>
    <row r="156" spans="2:10">
      <c r="B156" s="2" t="s">
        <v>844</v>
      </c>
      <c r="C156" s="2" t="s">
        <v>823</v>
      </c>
      <c r="D156" s="2"/>
      <c r="E156" s="8">
        <v>650</v>
      </c>
      <c r="F156" s="2"/>
      <c r="G156" s="3" t="s">
        <v>1012</v>
      </c>
      <c r="H156" s="3"/>
      <c r="I156" s="19" t="s">
        <v>872</v>
      </c>
      <c r="J156" s="20" t="s">
        <v>873</v>
      </c>
    </row>
    <row r="157" spans="2:10">
      <c r="B157" s="2" t="s">
        <v>845</v>
      </c>
      <c r="C157" s="2" t="s">
        <v>825</v>
      </c>
      <c r="D157" s="2"/>
      <c r="E157" s="8">
        <v>650</v>
      </c>
      <c r="F157" s="2"/>
      <c r="G157" s="3" t="s">
        <v>1012</v>
      </c>
      <c r="H157" s="3"/>
      <c r="I157" s="19" t="s">
        <v>874</v>
      </c>
      <c r="J157" s="20" t="s">
        <v>875</v>
      </c>
    </row>
    <row r="158" spans="2:10">
      <c r="B158" s="2" t="s">
        <v>846</v>
      </c>
      <c r="C158" s="2" t="s">
        <v>826</v>
      </c>
      <c r="D158" s="2"/>
      <c r="E158" s="8">
        <v>1300</v>
      </c>
      <c r="F158" s="2"/>
      <c r="G158" s="3" t="s">
        <v>1012</v>
      </c>
      <c r="H158" s="3"/>
      <c r="I158" s="19" t="s">
        <v>876</v>
      </c>
      <c r="J158" s="20" t="s">
        <v>877</v>
      </c>
    </row>
    <row r="159" spans="2:10">
      <c r="B159" s="2" t="s">
        <v>847</v>
      </c>
      <c r="C159" s="2" t="s">
        <v>827</v>
      </c>
      <c r="D159" s="2"/>
      <c r="E159" s="8">
        <v>1200</v>
      </c>
      <c r="F159" s="2"/>
      <c r="G159" s="3" t="s">
        <v>1012</v>
      </c>
      <c r="H159" s="3"/>
      <c r="I159" s="19" t="s">
        <v>878</v>
      </c>
      <c r="J159" s="20" t="s">
        <v>879</v>
      </c>
    </row>
    <row r="160" spans="2:10">
      <c r="B160" s="2" t="s">
        <v>848</v>
      </c>
      <c r="C160" s="2" t="s">
        <v>829</v>
      </c>
      <c r="D160" s="2"/>
      <c r="E160" s="8">
        <v>39</v>
      </c>
      <c r="F160" s="2"/>
      <c r="G160" s="3" t="s">
        <v>1017</v>
      </c>
      <c r="H160" s="3"/>
      <c r="I160" s="19" t="s">
        <v>880</v>
      </c>
      <c r="J160" s="20" t="s">
        <v>881</v>
      </c>
    </row>
    <row r="161" spans="2:10">
      <c r="B161" s="2" t="s">
        <v>849</v>
      </c>
      <c r="C161" s="2" t="s">
        <v>830</v>
      </c>
      <c r="D161" s="2"/>
      <c r="E161" s="8">
        <v>319</v>
      </c>
      <c r="F161" s="2"/>
      <c r="G161" s="3" t="s">
        <v>1017</v>
      </c>
      <c r="H161" s="3"/>
      <c r="I161" s="19" t="s">
        <v>882</v>
      </c>
      <c r="J161" s="20" t="s">
        <v>883</v>
      </c>
    </row>
    <row r="162" spans="2:10">
      <c r="B162" s="2" t="s">
        <v>850</v>
      </c>
      <c r="C162" s="2" t="s">
        <v>831</v>
      </c>
      <c r="D162" s="2"/>
      <c r="E162" s="8">
        <v>2000</v>
      </c>
      <c r="F162" s="2"/>
      <c r="G162" s="3" t="s">
        <v>1017</v>
      </c>
      <c r="H162" s="3"/>
      <c r="I162" s="19" t="s">
        <v>884</v>
      </c>
      <c r="J162" s="20" t="s">
        <v>885</v>
      </c>
    </row>
    <row r="163" spans="2:10">
      <c r="B163" s="2" t="s">
        <v>851</v>
      </c>
      <c r="C163" s="2" t="s">
        <v>833</v>
      </c>
      <c r="D163" s="2"/>
      <c r="E163" s="8">
        <v>350</v>
      </c>
      <c r="F163" s="2"/>
      <c r="G163" s="3" t="s">
        <v>1017</v>
      </c>
      <c r="H163" s="3"/>
      <c r="I163" s="19" t="s">
        <v>886</v>
      </c>
      <c r="J163" s="20" t="s">
        <v>887</v>
      </c>
    </row>
    <row r="164" spans="2:10">
      <c r="B164" s="2" t="s">
        <v>852</v>
      </c>
      <c r="C164" s="2" t="s">
        <v>834</v>
      </c>
      <c r="D164" s="2"/>
      <c r="E164" s="8">
        <v>245</v>
      </c>
      <c r="F164" s="2"/>
      <c r="G164" s="3" t="s">
        <v>1017</v>
      </c>
      <c r="H164" s="3"/>
      <c r="I164" s="19" t="s">
        <v>888</v>
      </c>
      <c r="J164" s="20" t="s">
        <v>889</v>
      </c>
    </row>
    <row r="165" spans="2:10">
      <c r="B165" s="13" t="s">
        <v>853</v>
      </c>
      <c r="C165" s="13" t="s">
        <v>1019</v>
      </c>
      <c r="E165" s="8">
        <v>420</v>
      </c>
      <c r="G165" s="28" t="s">
        <v>1017</v>
      </c>
      <c r="I165" s="20" t="s">
        <v>890</v>
      </c>
      <c r="J165" s="20" t="s">
        <v>891</v>
      </c>
    </row>
    <row r="166" spans="2:10">
      <c r="B166" s="13" t="s">
        <v>854</v>
      </c>
      <c r="C166" s="13" t="s">
        <v>1020</v>
      </c>
      <c r="E166" s="8">
        <v>350</v>
      </c>
      <c r="G166" s="28" t="s">
        <v>1017</v>
      </c>
      <c r="I166" s="20" t="s">
        <v>892</v>
      </c>
      <c r="J166" s="20" t="s">
        <v>893</v>
      </c>
    </row>
    <row r="167" spans="2:10">
      <c r="B167" s="13" t="s">
        <v>855</v>
      </c>
      <c r="C167" s="13" t="s">
        <v>1021</v>
      </c>
      <c r="E167" s="8">
        <v>300</v>
      </c>
      <c r="G167" s="28" t="s">
        <v>1017</v>
      </c>
      <c r="I167" s="20" t="s">
        <v>894</v>
      </c>
      <c r="J167" s="20" t="s">
        <v>895</v>
      </c>
    </row>
    <row r="168" spans="2:10">
      <c r="B168" s="13" t="s">
        <v>897</v>
      </c>
      <c r="C168" s="13" t="s">
        <v>1018</v>
      </c>
      <c r="E168" s="8">
        <v>1500</v>
      </c>
      <c r="G168" s="28" t="s">
        <v>1012</v>
      </c>
      <c r="I168" s="20" t="s">
        <v>898</v>
      </c>
      <c r="J168" s="20" t="s">
        <v>899</v>
      </c>
    </row>
    <row r="169" spans="2:10">
      <c r="B169" s="13" t="s">
        <v>900</v>
      </c>
      <c r="C169" s="13" t="s">
        <v>903</v>
      </c>
      <c r="E169" s="8">
        <v>210</v>
      </c>
      <c r="G169" s="28" t="s">
        <v>440</v>
      </c>
      <c r="I169" s="20" t="s">
        <v>901</v>
      </c>
      <c r="J169" s="20" t="s">
        <v>902</v>
      </c>
    </row>
    <row r="170" spans="2:10">
      <c r="B170" s="13" t="s">
        <v>904</v>
      </c>
      <c r="C170" s="13" t="s">
        <v>1027</v>
      </c>
      <c r="E170" s="8">
        <v>430</v>
      </c>
      <c r="G170" s="28" t="s">
        <v>440</v>
      </c>
      <c r="I170" s="20" t="s">
        <v>905</v>
      </c>
      <c r="J170" s="20" t="s">
        <v>906</v>
      </c>
    </row>
    <row r="171" spans="2:10">
      <c r="B171" s="13" t="s">
        <v>909</v>
      </c>
      <c r="C171" s="13" t="s">
        <v>908</v>
      </c>
      <c r="E171" s="8">
        <v>210</v>
      </c>
      <c r="G171" s="28" t="s">
        <v>440</v>
      </c>
      <c r="I171" s="20" t="s">
        <v>910</v>
      </c>
      <c r="J171" s="20" t="s">
        <v>911</v>
      </c>
    </row>
    <row r="172" spans="2:10">
      <c r="B172" s="13" t="s">
        <v>915</v>
      </c>
      <c r="C172" s="13" t="s">
        <v>914</v>
      </c>
      <c r="E172" s="8">
        <v>1200</v>
      </c>
      <c r="G172" s="28" t="s">
        <v>448</v>
      </c>
      <c r="I172" s="20" t="s">
        <v>916</v>
      </c>
      <c r="J172" s="20" t="s">
        <v>917</v>
      </c>
    </row>
    <row r="173" spans="2:10">
      <c r="B173" s="13" t="s">
        <v>923</v>
      </c>
      <c r="C173" s="13" t="s">
        <v>918</v>
      </c>
      <c r="E173" s="8">
        <v>450</v>
      </c>
      <c r="G173" s="28" t="s">
        <v>452</v>
      </c>
      <c r="I173" s="20" t="s">
        <v>928</v>
      </c>
      <c r="J173" s="20" t="s">
        <v>929</v>
      </c>
    </row>
    <row r="174" spans="2:10">
      <c r="B174" s="13" t="s">
        <v>924</v>
      </c>
      <c r="C174" s="13" t="s">
        <v>920</v>
      </c>
      <c r="E174" s="8">
        <v>550</v>
      </c>
      <c r="G174" s="28" t="s">
        <v>452</v>
      </c>
      <c r="I174" s="20" t="s">
        <v>930</v>
      </c>
      <c r="J174" s="20" t="s">
        <v>931</v>
      </c>
    </row>
    <row r="175" spans="2:10">
      <c r="B175" s="13" t="s">
        <v>925</v>
      </c>
      <c r="C175" s="13" t="s">
        <v>919</v>
      </c>
      <c r="E175" s="8">
        <v>550</v>
      </c>
      <c r="G175" s="28" t="s">
        <v>452</v>
      </c>
      <c r="I175" s="20" t="s">
        <v>932</v>
      </c>
      <c r="J175" s="20" t="s">
        <v>933</v>
      </c>
    </row>
    <row r="176" spans="2:10">
      <c r="B176" s="13" t="s">
        <v>926</v>
      </c>
      <c r="C176" s="13" t="s">
        <v>921</v>
      </c>
      <c r="E176" s="8">
        <v>450</v>
      </c>
      <c r="G176" s="28" t="s">
        <v>452</v>
      </c>
      <c r="I176" s="20" t="s">
        <v>934</v>
      </c>
      <c r="J176" s="20" t="s">
        <v>935</v>
      </c>
    </row>
    <row r="177" spans="2:10">
      <c r="B177" s="13" t="s">
        <v>927</v>
      </c>
      <c r="C177" s="13" t="s">
        <v>922</v>
      </c>
      <c r="E177" s="8">
        <v>450</v>
      </c>
      <c r="G177" s="28" t="s">
        <v>452</v>
      </c>
      <c r="I177" s="20" t="s">
        <v>936</v>
      </c>
      <c r="J177" s="20" t="s">
        <v>937</v>
      </c>
    </row>
    <row r="178" spans="2:10">
      <c r="B178" s="13" t="s">
        <v>939</v>
      </c>
      <c r="C178" s="13" t="s">
        <v>938</v>
      </c>
      <c r="E178" s="8">
        <v>550</v>
      </c>
      <c r="G178" s="28" t="s">
        <v>444</v>
      </c>
      <c r="I178" s="20" t="s">
        <v>940</v>
      </c>
      <c r="J178" s="20" t="s">
        <v>941</v>
      </c>
    </row>
    <row r="179" spans="2:10">
      <c r="B179" s="13" t="s">
        <v>943</v>
      </c>
      <c r="C179" s="13" t="s">
        <v>942</v>
      </c>
      <c r="I179" s="20" t="s">
        <v>944</v>
      </c>
      <c r="J179" s="20" t="s">
        <v>945</v>
      </c>
    </row>
    <row r="180" spans="2:10">
      <c r="B180" s="13" t="s">
        <v>959</v>
      </c>
      <c r="C180" s="13" t="s">
        <v>1226</v>
      </c>
      <c r="E180" s="8">
        <v>249</v>
      </c>
      <c r="G180" s="28" t="s">
        <v>439</v>
      </c>
      <c r="I180" s="20" t="s">
        <v>960</v>
      </c>
      <c r="J180" s="20" t="s">
        <v>961</v>
      </c>
    </row>
    <row r="181" spans="2:10">
      <c r="B181" s="13" t="s">
        <v>1152</v>
      </c>
      <c r="C181" s="13" t="s">
        <v>1148</v>
      </c>
      <c r="E181" s="8">
        <v>350</v>
      </c>
      <c r="G181" s="28" t="s">
        <v>439</v>
      </c>
      <c r="I181" s="20" t="s">
        <v>1153</v>
      </c>
      <c r="J181" s="20" t="s">
        <v>1154</v>
      </c>
    </row>
    <row r="182" spans="2:10">
      <c r="B182" s="13" t="s">
        <v>1184</v>
      </c>
      <c r="C182" s="13" t="s">
        <v>1183</v>
      </c>
      <c r="E182" s="8">
        <v>650</v>
      </c>
      <c r="G182" s="28" t="s">
        <v>444</v>
      </c>
      <c r="I182" s="20" t="s">
        <v>1187</v>
      </c>
      <c r="J182" s="20" t="s">
        <v>1188</v>
      </c>
    </row>
    <row r="183" spans="2:10">
      <c r="B183" s="13" t="s">
        <v>1186</v>
      </c>
      <c r="C183" s="13" t="s">
        <v>1185</v>
      </c>
      <c r="E183" s="8">
        <v>450</v>
      </c>
      <c r="G183" s="28" t="s">
        <v>447</v>
      </c>
      <c r="I183" s="20" t="s">
        <v>1189</v>
      </c>
      <c r="J183" s="20" t="s">
        <v>1190</v>
      </c>
    </row>
    <row r="184" spans="2:10" ht="15" customHeight="1">
      <c r="B184" s="13" t="s">
        <v>1066</v>
      </c>
      <c r="C184" s="13" t="s">
        <v>1065</v>
      </c>
      <c r="E184" s="8">
        <v>350</v>
      </c>
      <c r="G184" s="28" t="s">
        <v>1017</v>
      </c>
      <c r="I184" s="20" t="s">
        <v>1067</v>
      </c>
      <c r="J184" s="20" t="s">
        <v>1068</v>
      </c>
    </row>
    <row r="185" spans="2:10">
      <c r="B185" s="13" t="s">
        <v>1169</v>
      </c>
      <c r="C185" s="13" t="s">
        <v>461</v>
      </c>
      <c r="E185" s="8">
        <v>350</v>
      </c>
      <c r="G185" s="28" t="s">
        <v>451</v>
      </c>
      <c r="I185" s="20" t="s">
        <v>1175</v>
      </c>
      <c r="J185" s="20" t="s">
        <v>1176</v>
      </c>
    </row>
    <row r="186" spans="2:10">
      <c r="B186" s="13" t="s">
        <v>1011</v>
      </c>
      <c r="C186" s="13" t="s">
        <v>1010</v>
      </c>
      <c r="E186" s="8">
        <v>129</v>
      </c>
      <c r="G186" s="28" t="s">
        <v>1017</v>
      </c>
      <c r="I186" s="20" t="s">
        <v>1063</v>
      </c>
      <c r="J186" s="20" t="s">
        <v>1064</v>
      </c>
    </row>
    <row r="187" spans="2:10">
      <c r="B187" s="13" t="s">
        <v>1193</v>
      </c>
      <c r="C187" s="13" t="s">
        <v>1191</v>
      </c>
      <c r="E187" s="8">
        <v>1500</v>
      </c>
      <c r="G187" s="28" t="s">
        <v>1017</v>
      </c>
      <c r="I187" s="20" t="s">
        <v>1195</v>
      </c>
      <c r="J187" s="20" t="s">
        <v>1196</v>
      </c>
    </row>
    <row r="188" spans="2:10">
      <c r="B188" s="13" t="s">
        <v>1194</v>
      </c>
      <c r="C188" s="13" t="s">
        <v>1192</v>
      </c>
      <c r="E188" s="8">
        <v>2200</v>
      </c>
      <c r="G188" s="28" t="s">
        <v>1017</v>
      </c>
      <c r="I188" s="20" t="s">
        <v>1197</v>
      </c>
      <c r="J188" s="20" t="s">
        <v>1198</v>
      </c>
    </row>
    <row r="189" spans="2:10">
      <c r="B189" s="13" t="s">
        <v>1213</v>
      </c>
      <c r="C189" s="13" t="s">
        <v>1212</v>
      </c>
      <c r="E189" s="8">
        <v>300</v>
      </c>
      <c r="G189" s="28" t="s">
        <v>1017</v>
      </c>
      <c r="I189" s="20" t="s">
        <v>1216</v>
      </c>
      <c r="J189" s="20" t="s">
        <v>1217</v>
      </c>
    </row>
    <row r="190" spans="2:10">
      <c r="B190" s="13" t="s">
        <v>1214</v>
      </c>
      <c r="C190" s="13" t="s">
        <v>1215</v>
      </c>
      <c r="E190" s="8">
        <v>320</v>
      </c>
      <c r="G190" s="28" t="s">
        <v>1017</v>
      </c>
      <c r="H190" s="13" t="s">
        <v>1220</v>
      </c>
      <c r="I190" s="20" t="s">
        <v>1218</v>
      </c>
      <c r="J190" s="20" t="s">
        <v>1219</v>
      </c>
    </row>
    <row r="191" spans="2:10">
      <c r="B191" s="13" t="s">
        <v>1228</v>
      </c>
      <c r="C191" s="13" t="s">
        <v>1227</v>
      </c>
      <c r="E191" s="8">
        <v>390</v>
      </c>
      <c r="I191" s="20" t="s">
        <v>1229</v>
      </c>
      <c r="J191" s="20" t="s">
        <v>1230</v>
      </c>
    </row>
    <row r="192" spans="2:10">
      <c r="B192" s="13" t="s">
        <v>1233</v>
      </c>
      <c r="C192" s="13" t="s">
        <v>1227</v>
      </c>
      <c r="E192" s="8">
        <v>390</v>
      </c>
      <c r="I192" s="20" t="s">
        <v>1234</v>
      </c>
      <c r="J192" s="20" t="s">
        <v>1235</v>
      </c>
    </row>
    <row r="193" spans="2:10">
      <c r="B193" s="13" t="s">
        <v>1232</v>
      </c>
      <c r="C193" s="13" t="s">
        <v>1231</v>
      </c>
      <c r="E193" s="8">
        <v>380</v>
      </c>
      <c r="I193" s="20" t="s">
        <v>1236</v>
      </c>
      <c r="J193" s="20" t="s">
        <v>1237</v>
      </c>
    </row>
    <row r="194" spans="2:10">
      <c r="B194" s="13" t="s">
        <v>1276</v>
      </c>
      <c r="C194" s="13" t="s">
        <v>1275</v>
      </c>
      <c r="E194" s="8">
        <v>650</v>
      </c>
      <c r="I194" s="20" t="s">
        <v>1277</v>
      </c>
      <c r="J194" s="20" t="s">
        <v>1278</v>
      </c>
    </row>
  </sheetData>
  <sheetProtection formatCells="0" formatColumns="0" formatRows="0" insertColumns="0" insertRows="0" insertHyperlinks="0" deleteColumns="0" deleteRows="0" selectLockedCells="1" sort="0" autoFilter="0" pivotTables="0" selectUnlockedCells="1"/>
  <autoFilter ref="B3:I182" xr:uid="{00000000-0001-0000-0000-000000000000}"/>
  <conditionalFormatting sqref="B171:B1048576 B1:B169">
    <cfRule type="expression" dxfId="3" priority="1">
      <formula>COUNTIF($B:$B,B1)&gt;1</formula>
    </cfRule>
  </conditionalFormatting>
  <hyperlinks>
    <hyperlink ref="I4" r:id="rId1" xr:uid="{A87DB8B3-758E-4A5F-B1E5-786D478FB439}"/>
    <hyperlink ref="I5" r:id="rId2" xr:uid="{4021019A-088B-4059-8E7D-5A212F25E1DF}"/>
    <hyperlink ref="I6" r:id="rId3" xr:uid="{AD3D9B48-7A73-4807-ADEF-F718769949BD}"/>
    <hyperlink ref="I7" r:id="rId4" xr:uid="{244327ED-A53B-4480-8D11-1F275393B41D}"/>
    <hyperlink ref="I8" r:id="rId5" xr:uid="{6165A01A-C6E2-466B-977B-56073FBC9097}"/>
    <hyperlink ref="I9" r:id="rId6" xr:uid="{C0B63B51-8AA5-44F6-A9FB-6E1F9F99F38A}"/>
    <hyperlink ref="I10" r:id="rId7" xr:uid="{2234AF65-A588-4808-89CD-6236542B26B7}"/>
    <hyperlink ref="I11" r:id="rId8" xr:uid="{DAEDC357-F369-4EC0-9218-36EAB957B2DB}"/>
    <hyperlink ref="I12" r:id="rId9" xr:uid="{FE897871-E170-407E-84E6-A9F2273DF13B}"/>
    <hyperlink ref="I13" r:id="rId10" xr:uid="{509ABA34-663F-400E-945E-7FD961A6DBC7}"/>
    <hyperlink ref="I14" r:id="rId11" xr:uid="{65909B73-DED4-4C54-B9B4-D651B037C6B6}"/>
    <hyperlink ref="I15" r:id="rId12" xr:uid="{FC2F330D-8CF8-415E-B461-DFD862F6E87F}"/>
    <hyperlink ref="I16" r:id="rId13" xr:uid="{4A859AE5-1EB3-4C4C-95E9-9412853DBBF3}"/>
    <hyperlink ref="I17" r:id="rId14" xr:uid="{C9CE4D4A-2DD3-4257-810B-8841D0DA0E58}"/>
    <hyperlink ref="I18" r:id="rId15" xr:uid="{68DFD52F-3267-401E-A9B8-4E305B84802C}"/>
    <hyperlink ref="I19" r:id="rId16" xr:uid="{A3E35067-E33D-4DB7-8E2C-3F9582F309A4}"/>
    <hyperlink ref="I20" r:id="rId17" xr:uid="{00CCA651-EFA0-4C34-AF5B-1834DB0B167E}"/>
    <hyperlink ref="I21" r:id="rId18" xr:uid="{71D27EBF-BFE4-491B-9443-A441ACFD9473}"/>
    <hyperlink ref="I22" r:id="rId19" xr:uid="{8B8F0AD2-A5BC-4A9F-8E84-969CF59C9E92}"/>
    <hyperlink ref="I23" r:id="rId20" xr:uid="{33E6562B-CC0D-436E-B5D9-5696BFD53CA7}"/>
    <hyperlink ref="I24" r:id="rId21" xr:uid="{3944926C-5CA3-4F2E-8BBC-90BE9EC09F8B}"/>
    <hyperlink ref="I25" r:id="rId22" xr:uid="{03D5FD1C-B5F8-4E34-A57F-20DFE6DF988E}"/>
    <hyperlink ref="I26" r:id="rId23" xr:uid="{F9A8B3A1-9E70-4148-99D0-57034EF37B42}"/>
    <hyperlink ref="I27" r:id="rId24" xr:uid="{71BCDD58-2CB4-4CD1-9915-340DB1CCFBBE}"/>
    <hyperlink ref="I28" r:id="rId25" xr:uid="{00674246-C076-4199-9EC8-82F6E927DAFE}"/>
    <hyperlink ref="I29" r:id="rId26" xr:uid="{3AA15B0B-E3CF-41BC-9C2D-40F4A9E03A9A}"/>
    <hyperlink ref="I30" r:id="rId27" xr:uid="{0030BA55-4D01-4063-8640-98D1487FF587}"/>
    <hyperlink ref="I31" r:id="rId28" xr:uid="{0FDF691D-BFCF-448A-879E-C0B5073F38AC}"/>
    <hyperlink ref="I32" r:id="rId29" xr:uid="{A62B21C1-2F33-4A42-A52F-F1A007148AC1}"/>
    <hyperlink ref="I33" r:id="rId30" xr:uid="{508BE4BB-73E5-46B1-BCE5-24968811D88C}"/>
    <hyperlink ref="I34" r:id="rId31" xr:uid="{2CEEACFC-8BA3-48FF-8AA6-C6A9756A0F97}"/>
    <hyperlink ref="I35" r:id="rId32" xr:uid="{DA04B65A-EB07-4036-A1BF-5A13361D44AE}"/>
    <hyperlink ref="I36" r:id="rId33" xr:uid="{9B11CAEA-61D6-48D5-91A4-F585C07521E5}"/>
    <hyperlink ref="I37" r:id="rId34" xr:uid="{71D286BD-5402-4608-AF0A-0C4F109D7A5A}"/>
    <hyperlink ref="I38" r:id="rId35" xr:uid="{4BDB5C43-1762-4AFE-8F2B-726763CB96D9}"/>
    <hyperlink ref="I39" r:id="rId36" xr:uid="{71C77059-BA35-4EAA-96FC-8D55FAB3B896}"/>
    <hyperlink ref="I40" r:id="rId37" xr:uid="{E0E1FC9D-C3A0-4DAD-8FE4-4DCFFC00494C}"/>
    <hyperlink ref="I41" r:id="rId38" xr:uid="{4F018182-3FD0-43E4-B8E0-A399950AD6C8}"/>
    <hyperlink ref="I42" r:id="rId39" xr:uid="{7B1DA15F-1702-468C-BF3C-A00E922CE032}"/>
    <hyperlink ref="I43" r:id="rId40" xr:uid="{14B07B42-C051-4CEB-A7B7-BEE4B8C9FCFD}"/>
    <hyperlink ref="I44" r:id="rId41" xr:uid="{C60209F1-BC80-4C60-BCDB-D55EFD8839E6}"/>
    <hyperlink ref="I45" r:id="rId42" xr:uid="{E00EB3DC-659D-4528-92C1-2BC5F519E475}"/>
    <hyperlink ref="I46" r:id="rId43" xr:uid="{B41A11F4-D760-4585-8DC4-02688D95CA72}"/>
    <hyperlink ref="I47" r:id="rId44" xr:uid="{5153382D-A1AA-4A43-A757-5CCECCA02DE2}"/>
    <hyperlink ref="I48" r:id="rId45" xr:uid="{4A4626CD-0334-4428-86CC-724C698CF79B}"/>
    <hyperlink ref="I49" r:id="rId46" xr:uid="{F8E9959C-E17E-423F-8022-24E4F51901A9}"/>
    <hyperlink ref="I50" r:id="rId47" xr:uid="{F9F09C14-A60C-43C8-A600-7D9D353303FD}"/>
    <hyperlink ref="I51" r:id="rId48" xr:uid="{92F28562-7219-4205-B64E-0F861BDCE88E}"/>
    <hyperlink ref="I52" r:id="rId49" xr:uid="{B284E47B-E373-4040-B2CC-42B6C3A2200F}"/>
    <hyperlink ref="I53" r:id="rId50" xr:uid="{1627CB0B-F02E-47D2-A7D3-8087BDAD2ACA}"/>
    <hyperlink ref="I54" r:id="rId51" xr:uid="{9668E8D4-76BD-4F11-9B19-163D4DBB739C}"/>
    <hyperlink ref="I55" r:id="rId52" xr:uid="{6DF1B789-A9AA-4D89-98C6-0CE0844D93C3}"/>
    <hyperlink ref="I56" r:id="rId53" xr:uid="{A79F69CF-9C5E-4453-B343-554C87913313}"/>
    <hyperlink ref="I57" r:id="rId54" xr:uid="{C73D78C6-31AD-407D-AC97-4986B3FE1BC2}"/>
    <hyperlink ref="I58" r:id="rId55" xr:uid="{984038DF-8C2D-4834-8112-D0BC5D5D8013}"/>
    <hyperlink ref="I59" r:id="rId56" xr:uid="{00991AF0-6094-48CF-8C35-351DDAC5E024}"/>
    <hyperlink ref="I60" r:id="rId57" xr:uid="{12A45A5C-30C5-431B-90F8-5EA3D88FA4B8}"/>
    <hyperlink ref="I61" r:id="rId58" xr:uid="{6FFAF113-E923-475E-BCBF-B53DF452B8EF}"/>
    <hyperlink ref="I62" r:id="rId59" xr:uid="{DEEF509D-BA39-4250-A9AA-69BFC2163566}"/>
    <hyperlink ref="I63" r:id="rId60" xr:uid="{0935841B-6FE6-4AF8-9412-A075FD097371}"/>
    <hyperlink ref="I64" r:id="rId61" xr:uid="{764E9564-D2A4-4E5A-80F3-876DCC6C90A8}"/>
    <hyperlink ref="I65" r:id="rId62" xr:uid="{1065A45D-EFB6-425C-992F-F4D9B26EFE76}"/>
    <hyperlink ref="I66" r:id="rId63" xr:uid="{253FCCB3-A6F3-46D3-B3EA-33B2AAB10C52}"/>
    <hyperlink ref="I67" r:id="rId64" xr:uid="{7FA0D5D4-22A0-41C5-8DE2-966F6F937879}"/>
    <hyperlink ref="I68" r:id="rId65" xr:uid="{9A7D4EC2-8C52-4876-BFD0-19A8BCBD1E40}"/>
    <hyperlink ref="I69" r:id="rId66" xr:uid="{3AA8CE64-47C3-4912-BADD-6464EF7BB352}"/>
    <hyperlink ref="I70" r:id="rId67" xr:uid="{A0A4E3C1-9781-47C7-82EB-687FF599D917}"/>
    <hyperlink ref="I71" r:id="rId68" xr:uid="{22EEA1C4-3542-481C-9D17-31212F3DFCE6}"/>
    <hyperlink ref="I72" r:id="rId69" xr:uid="{AE2A4672-16D1-4FFC-8939-657E0FB995C7}"/>
    <hyperlink ref="I73" r:id="rId70" xr:uid="{E51BD6BF-EAB8-4652-9D51-FF4EB6483E38}"/>
    <hyperlink ref="I74" r:id="rId71" xr:uid="{FB898D17-3890-4783-BA55-7970827E6AE0}"/>
    <hyperlink ref="I75" r:id="rId72" xr:uid="{7F2BBCB8-AAC8-4A08-BAC8-6EA5C702BF65}"/>
    <hyperlink ref="I76" r:id="rId73" xr:uid="{7F6AF0FE-5E1B-43FE-B997-70062030E09D}"/>
    <hyperlink ref="I77" r:id="rId74" xr:uid="{0114E89F-14C3-4F9F-95A4-531632F0E31D}"/>
    <hyperlink ref="I78" r:id="rId75" xr:uid="{50836D14-140C-4A37-8BCB-DB523C7D4E07}"/>
    <hyperlink ref="I79" r:id="rId76" xr:uid="{110D3CEF-E340-4165-8171-83F11DBB0217}"/>
    <hyperlink ref="I80" r:id="rId77" xr:uid="{65964732-47EF-45A7-AD01-8AFD4CEFBF8B}"/>
    <hyperlink ref="I81" r:id="rId78" xr:uid="{F215057A-42EB-4AE1-A01F-9C4945854EDE}"/>
    <hyperlink ref="I82" r:id="rId79" xr:uid="{B4219623-AB6E-41EE-ABA8-16D42599E3B4}"/>
    <hyperlink ref="I83" r:id="rId80" xr:uid="{71B5E04A-86C8-472E-8AE5-60BDF51F0801}"/>
    <hyperlink ref="I84" r:id="rId81" xr:uid="{F029D567-E073-4285-AC41-5ED804AC1C81}"/>
    <hyperlink ref="I85" r:id="rId82" xr:uid="{62BE1D0A-9E58-497B-A8BC-31E363E2078A}"/>
    <hyperlink ref="I86" r:id="rId83" xr:uid="{FE641B25-1482-4E4B-B4BB-D6E68C818076}"/>
    <hyperlink ref="I87" r:id="rId84" xr:uid="{1FC55E4B-D958-4746-B99C-B27A845F5E23}"/>
    <hyperlink ref="I88" r:id="rId85" xr:uid="{B13B2467-6F5F-4B68-9132-72E80D06E4A6}"/>
    <hyperlink ref="I89" r:id="rId86" xr:uid="{FCB59971-0F2E-472B-899C-12CF87E98B91}"/>
    <hyperlink ref="I90" r:id="rId87" xr:uid="{938DC324-F77A-44A3-BCA3-B0EA0ECFC18F}"/>
    <hyperlink ref="I91" r:id="rId88" xr:uid="{B78C5493-2A4D-4F84-A786-4EBA170CD6DD}"/>
    <hyperlink ref="I92" r:id="rId89" xr:uid="{4CCF3F07-1B8E-474C-B2F3-27B5E18E45D9}"/>
    <hyperlink ref="I93" r:id="rId90" xr:uid="{80485AE8-4789-4F0F-8528-D74C7C35B2B2}"/>
    <hyperlink ref="I94" r:id="rId91" xr:uid="{C0B61E2F-05B6-4E6A-B933-75052D0A8C3B}"/>
    <hyperlink ref="I95" r:id="rId92" xr:uid="{405A0DF4-5763-439E-8CBD-26D03D5288A4}"/>
    <hyperlink ref="I96" r:id="rId93" xr:uid="{24D68D17-CA91-4CF3-A203-A2C9CA30E90C}"/>
    <hyperlink ref="I97" r:id="rId94" xr:uid="{AE6D3FF3-1752-4B32-9BE2-E9AB20A73BAD}"/>
    <hyperlink ref="I98" r:id="rId95" xr:uid="{A34BF19A-CA1A-40C3-8425-4E6F9AC790CB}"/>
    <hyperlink ref="I99" r:id="rId96" xr:uid="{28D5E0EE-79D7-4368-A010-7A575541EBE1}"/>
    <hyperlink ref="I100" r:id="rId97" xr:uid="{5DD4EE5D-C17A-4A99-A8B1-249667F19C14}"/>
    <hyperlink ref="I101" r:id="rId98" xr:uid="{FA777671-AADE-4A68-9253-8DE6C2753C13}"/>
    <hyperlink ref="I102" r:id="rId99" xr:uid="{A3B57528-79BB-4DAA-83D2-02FE7440B260}"/>
    <hyperlink ref="I103" r:id="rId100" xr:uid="{C1A74521-3C6A-4E25-92CF-16DBD653B908}"/>
    <hyperlink ref="I104" r:id="rId101" xr:uid="{7DD02C5B-70D1-4FAD-BCFA-8254ED6BF165}"/>
    <hyperlink ref="I105" r:id="rId102" xr:uid="{663CE8BB-29B7-46F4-90BF-C7ED76F8AE69}"/>
    <hyperlink ref="I106" r:id="rId103" xr:uid="{720926C4-4FED-4B39-B52A-4256084E34F2}"/>
    <hyperlink ref="I107" r:id="rId104" xr:uid="{0D520575-C9AB-4043-A75D-86BDBEDF8865}"/>
    <hyperlink ref="I108" r:id="rId105" xr:uid="{F0B9781D-F9FC-4A8D-B0A8-7BA616054A27}"/>
    <hyperlink ref="I109" r:id="rId106" xr:uid="{21CF5309-440F-49CE-95E1-A6B79055A798}"/>
    <hyperlink ref="I110" r:id="rId107" xr:uid="{1EB55DF2-94F3-4DDC-98B8-5BD7FA945BA2}"/>
    <hyperlink ref="I111" r:id="rId108" xr:uid="{A752635F-2645-43B1-A98D-D4DCA2B80FA0}"/>
    <hyperlink ref="I112" r:id="rId109" xr:uid="{EECB9E99-3617-44F4-985A-A81EAEC576D0}"/>
    <hyperlink ref="I113" r:id="rId110" xr:uid="{81535A71-208A-4148-A327-48802542DE4D}"/>
    <hyperlink ref="I114" r:id="rId111" xr:uid="{0ECFBA8C-F06B-4DEB-8A76-B6E8A777E4BF}"/>
    <hyperlink ref="I115" r:id="rId112" xr:uid="{C0EEC54B-6A0A-452E-9DA4-A0209F71DFC7}"/>
    <hyperlink ref="I116" r:id="rId113" xr:uid="{B7018CC5-115C-42A9-B4D3-C34BE52E4023}"/>
    <hyperlink ref="I117" r:id="rId114" xr:uid="{4AF7BC78-28BE-4894-8D0D-8117D4E85BE6}"/>
    <hyperlink ref="I118" r:id="rId115" xr:uid="{BDC8146D-1D77-4D7F-8C04-99AB1C653CA1}"/>
    <hyperlink ref="I119" r:id="rId116" xr:uid="{DBB7BF2B-5DD1-49C6-954C-A36AA3AAFA47}"/>
    <hyperlink ref="I120" r:id="rId117" xr:uid="{0A6D47FF-8302-468D-AF6D-550E4C54D78E}"/>
    <hyperlink ref="I121" r:id="rId118" xr:uid="{225E893E-17C8-4BF8-81F9-3DC924564228}"/>
    <hyperlink ref="I122" r:id="rId119" xr:uid="{E84E8535-CE31-4D94-B49F-204516A1F63F}"/>
    <hyperlink ref="I123" r:id="rId120" xr:uid="{226ABA11-D94B-471A-912C-621E29DE5B95}"/>
    <hyperlink ref="I124" r:id="rId121" xr:uid="{F2E6A778-A4A4-46D1-A21B-9C3F12EFA20A}"/>
    <hyperlink ref="I125" r:id="rId122" xr:uid="{43FB8087-1027-40F6-8CBD-D0DA45DBFC7E}"/>
    <hyperlink ref="I126" r:id="rId123" xr:uid="{90526713-EDB4-41C3-A194-4A2621E5981D}"/>
    <hyperlink ref="I127" r:id="rId124" xr:uid="{902D8416-101D-4B57-BFFC-946248F4F223}"/>
    <hyperlink ref="I128" r:id="rId125" xr:uid="{BA7ED8A2-F902-4A67-8F02-53BCE035BC5D}"/>
    <hyperlink ref="I129" r:id="rId126" xr:uid="{DE9D137A-6E5C-4CF0-B96F-5F4A4BCDA0AA}"/>
    <hyperlink ref="I130" r:id="rId127" xr:uid="{98DFD712-C6DE-47F2-9CB3-CB3D513A88D5}"/>
    <hyperlink ref="I131" r:id="rId128" xr:uid="{DB44EE4C-5002-4434-857D-5110F62D1049}"/>
    <hyperlink ref="I132" r:id="rId129" xr:uid="{1AA4CE65-AF44-4CAC-9FD7-67B80D2853F2}"/>
    <hyperlink ref="I133" r:id="rId130" xr:uid="{EB063973-5F1C-4149-A74B-A32C6ADE619F}"/>
    <hyperlink ref="I134" r:id="rId131" xr:uid="{C6C8C038-B179-419A-B608-14F33CD672EA}"/>
    <hyperlink ref="I135" r:id="rId132" xr:uid="{D05D2E26-B187-4866-A67F-817361EA4136}"/>
    <hyperlink ref="I136" r:id="rId133" xr:uid="{7885F997-A61A-4347-9784-99CDF5C23FDC}"/>
    <hyperlink ref="I137" r:id="rId134" xr:uid="{26C41B62-02BF-41C8-B71A-60929CB16AF4}"/>
    <hyperlink ref="I138" r:id="rId135" xr:uid="{019F690D-A013-475F-80EA-3258D41245CD}"/>
    <hyperlink ref="I139" r:id="rId136" xr:uid="{49A34CD3-212B-4D31-AA69-260F55CA9014}"/>
    <hyperlink ref="I140" r:id="rId137" xr:uid="{96A0B474-D399-4371-B167-2BDD7F1B3838}"/>
    <hyperlink ref="I141" r:id="rId138" xr:uid="{E724F92E-CDA7-4781-93EE-00BDF47411FB}"/>
    <hyperlink ref="I142" r:id="rId139" xr:uid="{5787AB9D-C69D-4E63-A56F-35F16F3B2665}"/>
    <hyperlink ref="I143" r:id="rId140" xr:uid="{0C50532E-E93A-4F47-B856-CB572B04DD8D}"/>
    <hyperlink ref="I144" r:id="rId141" xr:uid="{A75C91A4-1C89-4AA6-8753-5EF6223E9CB1}"/>
    <hyperlink ref="I145" r:id="rId142" xr:uid="{7AFD72A3-1A95-47D3-8131-BD3849B6F73C}"/>
    <hyperlink ref="I146" r:id="rId143" xr:uid="{3F6E5E26-A41C-455F-88EF-FA0BA9A62264}"/>
    <hyperlink ref="I147" r:id="rId144" xr:uid="{86AB48DE-71B1-4633-9348-E764B139F9E1}"/>
    <hyperlink ref="J4" r:id="rId145" xr:uid="{1518F916-A628-42FD-9CDF-F7B12809E848}"/>
    <hyperlink ref="J5" r:id="rId146" xr:uid="{75541EB2-9D8D-4FD4-9151-C04908E56D25}"/>
    <hyperlink ref="J6" r:id="rId147" xr:uid="{5AFA5E30-7B41-4E67-92D3-313F5401B7FD}"/>
    <hyperlink ref="J7" r:id="rId148" xr:uid="{3669F359-EE1B-46A1-96F8-709754FE0E91}"/>
    <hyperlink ref="J8" r:id="rId149" xr:uid="{C46AD608-B045-484C-A81F-ECBB60D09D2D}"/>
    <hyperlink ref="J9" r:id="rId150" xr:uid="{E05C1749-C3EA-4D35-B3FE-5DF17D79181B}"/>
    <hyperlink ref="J10" r:id="rId151" xr:uid="{1B2FD2A8-2AAB-471D-ACF1-CE6CE126C1ED}"/>
    <hyperlink ref="J11" r:id="rId152" xr:uid="{2783A9E3-F827-41DB-9D51-FF0B21E3D8E4}"/>
    <hyperlink ref="J12" r:id="rId153" xr:uid="{6EBB240D-6E30-4FCE-AE11-B3E82D98EA5A}"/>
    <hyperlink ref="J13" r:id="rId154" xr:uid="{37851E8A-2EC4-47CB-AC08-DF9ABEFF1283}"/>
    <hyperlink ref="J14" r:id="rId155" xr:uid="{65B04244-767A-456C-B3FC-188984960586}"/>
    <hyperlink ref="J15" r:id="rId156" xr:uid="{E3D4845B-9826-4ACF-84D5-D60BD154D031}"/>
    <hyperlink ref="J16" r:id="rId157" xr:uid="{59152E4A-D387-4464-9ED8-D26B9B77810E}"/>
    <hyperlink ref="J17" r:id="rId158" xr:uid="{F0DE633E-6104-4B8E-9689-C8AB601A7520}"/>
    <hyperlink ref="J18" r:id="rId159" xr:uid="{B9A3CC6C-A031-4C14-BE20-4AEE7EE2FB83}"/>
    <hyperlink ref="J19" r:id="rId160" xr:uid="{922F252B-B922-443D-98EB-12AA9D27D261}"/>
    <hyperlink ref="J20" r:id="rId161" xr:uid="{AEB8DE4F-6EC0-48CF-91FD-C753D4A526A4}"/>
    <hyperlink ref="J21" r:id="rId162" xr:uid="{C0DF4F94-DB4A-4D81-86BA-2A514F9F2191}"/>
    <hyperlink ref="J22" r:id="rId163" xr:uid="{8145EF92-A411-4DDF-87A8-53D4C0A8EA84}"/>
    <hyperlink ref="J23" r:id="rId164" xr:uid="{89572554-E127-4B91-81B1-E85F9010CAD6}"/>
    <hyperlink ref="J24" r:id="rId165" xr:uid="{23FAE8BE-FF10-409D-A0B1-FDDAB87B5C5F}"/>
    <hyperlink ref="J25" r:id="rId166" xr:uid="{A3AE86A9-4F7D-4CD0-836A-2D37B88F8D67}"/>
    <hyperlink ref="J26" r:id="rId167" xr:uid="{3649C3BD-386E-4494-9503-E5FF4D3FF8A9}"/>
    <hyperlink ref="J27" r:id="rId168" xr:uid="{97FAD5BF-C100-43CA-8D16-1FC5A8EEE63B}"/>
    <hyperlink ref="J28" r:id="rId169" xr:uid="{B2E23BAC-8114-405B-972A-A1C54A9ED731}"/>
    <hyperlink ref="J29" r:id="rId170" xr:uid="{31D3CC25-3571-4064-B16B-6531FAEE72E7}"/>
    <hyperlink ref="J30" r:id="rId171" xr:uid="{B03E9465-2509-4AC3-B119-B545AFF7AFCA}"/>
    <hyperlink ref="J31" r:id="rId172" xr:uid="{347E7D46-33BE-48CE-9C68-377B7DC0578F}"/>
    <hyperlink ref="J32" r:id="rId173" xr:uid="{127E9911-605D-4F8F-8303-2A0097A1AAAC}"/>
    <hyperlink ref="J33" r:id="rId174" xr:uid="{089986FF-EB46-41C6-BB74-B4C63A651680}"/>
    <hyperlink ref="J34" r:id="rId175" xr:uid="{4EDB1C97-1E18-4576-9CBC-DDF43B5AB672}"/>
    <hyperlink ref="J35" r:id="rId176" xr:uid="{77C88826-FBEE-4746-9585-84D61BD4C1EE}"/>
    <hyperlink ref="J36" r:id="rId177" xr:uid="{227B185F-2C5B-4655-95AE-B4CA613D9584}"/>
    <hyperlink ref="J37" r:id="rId178" xr:uid="{4124A7C9-56E4-43D1-9084-649386629E24}"/>
    <hyperlink ref="J38" r:id="rId179" xr:uid="{082581F4-C6CC-4482-90B3-914ED59F4193}"/>
    <hyperlink ref="J39" r:id="rId180" xr:uid="{8FC87B9B-2A76-4B3E-BBBB-B740BCCC6079}"/>
    <hyperlink ref="J40" r:id="rId181" xr:uid="{7C9F4BA0-7A4D-4396-A3FD-63B14241257B}"/>
    <hyperlink ref="J41" r:id="rId182" xr:uid="{5BED9C1B-C312-4D15-9CD7-70F615369822}"/>
    <hyperlink ref="J42" r:id="rId183" xr:uid="{C2CB5485-3782-41D6-A273-FBB446586CB9}"/>
    <hyperlink ref="J43" r:id="rId184" xr:uid="{635DDD52-F9A8-4A5A-A7E0-7841EAA36466}"/>
    <hyperlink ref="J44" r:id="rId185" xr:uid="{0B659BE1-4AFC-43CE-91BA-10C22196A09F}"/>
    <hyperlink ref="J45" r:id="rId186" xr:uid="{E49FA97B-8E9D-4AE2-8300-744C2E77580B}"/>
    <hyperlink ref="J46" r:id="rId187" xr:uid="{CB1C4F74-B5C5-4035-9EFE-A32A02A642A7}"/>
    <hyperlink ref="J47" r:id="rId188" xr:uid="{96E1E7BB-6FFF-4FFE-89A8-B6E5343A5EB2}"/>
    <hyperlink ref="J48" r:id="rId189" xr:uid="{C1579F29-950A-4486-94EC-E4A723C3334C}"/>
    <hyperlink ref="J49" r:id="rId190" xr:uid="{03330ED8-E725-4ADF-ABE3-277B5F45353E}"/>
    <hyperlink ref="J50" r:id="rId191" xr:uid="{DEF66183-4ACB-4DEA-A13F-51DE5C1B285A}"/>
    <hyperlink ref="J51" r:id="rId192" xr:uid="{1F45CFD7-066B-4BB3-A810-6A9A5CADE14A}"/>
    <hyperlink ref="J52" r:id="rId193" xr:uid="{F2146E65-8F52-4D47-B378-3BA0669D116D}"/>
    <hyperlink ref="J53" r:id="rId194" xr:uid="{9A769FFF-6B10-4CC4-B86A-05EDE9B7DCD7}"/>
    <hyperlink ref="J54" r:id="rId195" xr:uid="{4615E3C1-50EB-4DC4-8B7F-51FDDAADAAC1}"/>
    <hyperlink ref="J55" r:id="rId196" xr:uid="{53866123-F476-4DB7-A02E-5306A760DAAF}"/>
    <hyperlink ref="J56" r:id="rId197" xr:uid="{2A585B55-EBBA-4B34-9C79-9CDAB23BE7B8}"/>
    <hyperlink ref="J57" r:id="rId198" xr:uid="{D718AA20-CAB3-458A-B487-4991BF04CD78}"/>
    <hyperlink ref="J58" r:id="rId199" xr:uid="{782EB3A7-6E85-4BA4-B5AB-01C007126235}"/>
    <hyperlink ref="J59" r:id="rId200" xr:uid="{44649939-71BE-49E2-B20B-ED644FA55BF9}"/>
    <hyperlink ref="J60" r:id="rId201" xr:uid="{38DDB6EA-F23B-4384-994B-6FCA53BB4184}"/>
    <hyperlink ref="J61" r:id="rId202" xr:uid="{BEC4EF9A-8306-49EE-A1B6-AF719918FF8C}"/>
    <hyperlink ref="J62" r:id="rId203" xr:uid="{CC8DFF06-9CDD-4D0F-85D0-6FCBDA0014B8}"/>
    <hyperlink ref="J63" r:id="rId204" xr:uid="{F4F6291E-AD9C-4B61-A0B0-366F10A0E948}"/>
    <hyperlink ref="J64" r:id="rId205" xr:uid="{3EBDE3CC-6997-4AA8-952D-88C6A52A79AB}"/>
    <hyperlink ref="J65" r:id="rId206" xr:uid="{41A6C1FC-7D87-4D3B-B15C-2C042A9C8AEF}"/>
    <hyperlink ref="J66" r:id="rId207" xr:uid="{9135E4F8-3B54-45B5-96B8-AFCC67E61AF8}"/>
    <hyperlink ref="J67" r:id="rId208" xr:uid="{900E6036-BB1E-4F94-A542-6E1521F76E88}"/>
    <hyperlink ref="J68" r:id="rId209" xr:uid="{AC3A7A25-FA67-4850-9E6E-DCD0A211AAFA}"/>
    <hyperlink ref="J69" r:id="rId210" xr:uid="{88D21403-3621-471F-B1C8-7AB2AFA63AB0}"/>
    <hyperlink ref="J70" r:id="rId211" xr:uid="{B72FBDF2-50C2-42AF-9C9A-EFF9526CF43D}"/>
    <hyperlink ref="J71" r:id="rId212" xr:uid="{5F2494BA-D7D6-466B-B99E-44C86B701376}"/>
    <hyperlink ref="J72" r:id="rId213" xr:uid="{F577573C-3774-48A0-9C5D-DD0D9CDFA45A}"/>
    <hyperlink ref="J73" r:id="rId214" xr:uid="{034DBD02-C7A7-479F-B194-1A5C5045F919}"/>
    <hyperlink ref="J74" r:id="rId215" xr:uid="{837B9BC5-9FD1-44FF-9F88-C9AD22EDFB60}"/>
    <hyperlink ref="J75" r:id="rId216" xr:uid="{9C01FFAF-FB75-4773-8638-5CBE86C2E81D}"/>
    <hyperlink ref="J76" r:id="rId217" xr:uid="{3D1CD6D0-5CED-497A-B9A3-211A0961E069}"/>
    <hyperlink ref="J77" r:id="rId218" xr:uid="{3196B4F0-9033-4A3F-94E1-944376D7AE7E}"/>
    <hyperlink ref="J78" r:id="rId219" xr:uid="{AECD92B8-CEDF-41EE-B1C3-E216DCB3CD3E}"/>
    <hyperlink ref="J79" r:id="rId220" xr:uid="{85B5D7BF-113B-497E-8D10-39D9AF0DE959}"/>
    <hyperlink ref="J80" r:id="rId221" xr:uid="{E972D0B8-D51F-40CB-A29A-972B9181A415}"/>
    <hyperlink ref="J81" r:id="rId222" xr:uid="{249EAC58-7F48-4670-9848-3DBF7A90EDB8}"/>
    <hyperlink ref="J82" r:id="rId223" xr:uid="{E6C5E872-CF07-404E-BB6B-809BB2475DD0}"/>
    <hyperlink ref="J83" r:id="rId224" xr:uid="{E6564C4D-AD8E-40BD-8981-E6E7ED11E974}"/>
    <hyperlink ref="J84" r:id="rId225" xr:uid="{ED7015D9-1D2E-4C90-B0A0-92B25076BCF0}"/>
    <hyperlink ref="J85" r:id="rId226" xr:uid="{284300F4-AED2-406C-A6EA-0482928820A4}"/>
    <hyperlink ref="J86" r:id="rId227" xr:uid="{B57C0C09-9A2E-4341-9F15-EAF10E3FF250}"/>
    <hyperlink ref="J87" r:id="rId228" xr:uid="{24B67B17-38C5-4B99-B87C-F97DB971B886}"/>
    <hyperlink ref="J88" r:id="rId229" xr:uid="{20CF2A21-8F87-4BDB-9551-CDBA3D180F7F}"/>
    <hyperlink ref="J89" r:id="rId230" xr:uid="{52082E5B-C39B-439A-8566-99B7F9087988}"/>
    <hyperlink ref="J90" r:id="rId231" xr:uid="{0F5BCAE8-2E40-4514-9C54-AFB1DC326701}"/>
    <hyperlink ref="J91" r:id="rId232" xr:uid="{1E35DB01-69EE-4EFA-BA49-603E4658B22A}"/>
    <hyperlink ref="J92" r:id="rId233" xr:uid="{16B974A4-9ADA-4BCA-856E-C03DEED728E2}"/>
    <hyperlink ref="J93" r:id="rId234" xr:uid="{8C3CD965-4D75-4910-9189-75C64D23878B}"/>
    <hyperlink ref="J94" r:id="rId235" xr:uid="{C29B533E-93AE-421D-AF4C-17824F188709}"/>
    <hyperlink ref="J95" r:id="rId236" xr:uid="{42D6763D-1D7E-4E20-9E5C-7D5F9C9EC15D}"/>
    <hyperlink ref="J96" r:id="rId237" xr:uid="{0FC64C03-1CED-472A-9D65-815BA62CF063}"/>
    <hyperlink ref="J97" r:id="rId238" xr:uid="{1757DB0D-51B9-4574-975A-A1F66EAC7F2E}"/>
    <hyperlink ref="J98" r:id="rId239" xr:uid="{9C67FFCA-7B53-4E28-836D-CF4FDD7780FA}"/>
    <hyperlink ref="J99" r:id="rId240" xr:uid="{E132A2ED-BC60-444F-A5E7-D711AD23B579}"/>
    <hyperlink ref="J100" r:id="rId241" xr:uid="{183D7AA3-AA3D-4DAB-BF5B-BD34819E86F4}"/>
    <hyperlink ref="J101" r:id="rId242" xr:uid="{8282203D-9220-493A-8AF0-2AC22E8BC6AE}"/>
    <hyperlink ref="J102" r:id="rId243" xr:uid="{256A46CA-B212-4282-952A-3FCA2AF0A641}"/>
    <hyperlink ref="J103" r:id="rId244" xr:uid="{C0E9B0B7-1E4F-4BD7-AE46-5504163DFAC0}"/>
    <hyperlink ref="J104" r:id="rId245" xr:uid="{C1473727-5B72-4B1C-9AE7-10D487AACCBB}"/>
    <hyperlink ref="J105" r:id="rId246" xr:uid="{BD18B762-A6BB-4C3A-B79A-7A0FE842E0CA}"/>
    <hyperlink ref="J106" r:id="rId247" xr:uid="{5F4D0F6B-E958-42CE-8EC2-3E35A9EA839E}"/>
    <hyperlink ref="J107" r:id="rId248" xr:uid="{77093C9A-7545-4F48-A8DD-CDFE41403F5F}"/>
    <hyperlink ref="J108" r:id="rId249" xr:uid="{D98C709A-C702-454D-864D-DD026F14C8ED}"/>
    <hyperlink ref="J109" r:id="rId250" xr:uid="{988BD8B8-11F5-4BC3-8F3D-CEF92F2247D9}"/>
    <hyperlink ref="J110" r:id="rId251" xr:uid="{A588DDB8-FFC7-44DA-BE3E-958752EC7B7A}"/>
    <hyperlink ref="J111" r:id="rId252" xr:uid="{BF240239-73CB-48F7-8103-B9B30FB51FDC}"/>
    <hyperlink ref="J112" r:id="rId253" xr:uid="{0CD83FCD-7581-48FE-A59E-7F1B2947D5BA}"/>
    <hyperlink ref="J113" r:id="rId254" xr:uid="{09B19F7E-B59E-46C9-B2B6-BBC4834E20B1}"/>
    <hyperlink ref="J114" r:id="rId255" xr:uid="{D890191C-7D12-4D42-B144-D635F2496B15}"/>
    <hyperlink ref="J115" r:id="rId256" xr:uid="{CBFE5D16-BC1F-4E81-89BF-7C2ACD7D992C}"/>
    <hyperlink ref="J116" r:id="rId257" xr:uid="{D01DBF02-63EB-4016-814B-08D89BE37E03}"/>
    <hyperlink ref="J117" r:id="rId258" xr:uid="{C35B9863-8EBE-4532-9F33-87BA5EC9E0FC}"/>
    <hyperlink ref="J118" r:id="rId259" xr:uid="{672272CA-D30A-4AC0-B155-6DE9D828A480}"/>
    <hyperlink ref="J119" r:id="rId260" xr:uid="{065C1D7D-FA8F-43D4-81FA-94E6FCFAB059}"/>
    <hyperlink ref="J120" r:id="rId261" xr:uid="{A1B19061-4B9B-4EA7-8CA2-84FB054F5931}"/>
    <hyperlink ref="J121" r:id="rId262" xr:uid="{CD9A619B-8F46-4562-BC90-C505DDC4E38F}"/>
    <hyperlink ref="J122" r:id="rId263" xr:uid="{278291F1-4B9A-4CD4-9CCF-6E655F540925}"/>
    <hyperlink ref="J123" r:id="rId264" xr:uid="{1CD71CAC-0FBE-44F7-8824-93EC4B49EA8C}"/>
    <hyperlink ref="J124" r:id="rId265" xr:uid="{060476B9-73AF-45DF-8C8B-6944079E2574}"/>
    <hyperlink ref="J125" r:id="rId266" xr:uid="{F64DAC91-1128-47A6-91AA-B348D1DE47A7}"/>
    <hyperlink ref="J126" r:id="rId267" xr:uid="{93170EDD-0952-495C-A849-C1BBAB147E1B}"/>
    <hyperlink ref="J127" r:id="rId268" xr:uid="{47B201C1-6BAD-4BB0-90C3-A355E466BD99}"/>
    <hyperlink ref="J128" r:id="rId269" xr:uid="{FB181233-6E2E-4E3E-93F7-77EBB98A95BE}"/>
    <hyperlink ref="J129" r:id="rId270" xr:uid="{D3EF5FCD-97D3-4316-BF52-D7382C1BDAA2}"/>
    <hyperlink ref="J130" r:id="rId271" xr:uid="{E972C7BA-8B01-476D-A172-ED3FF0302419}"/>
    <hyperlink ref="J131" r:id="rId272" xr:uid="{0FCAF407-C711-423D-B9DD-5C32F092A19B}"/>
    <hyperlink ref="J132" r:id="rId273" xr:uid="{A9AB1D4D-E370-4057-ABAE-478BE4D0D121}"/>
    <hyperlink ref="J133" r:id="rId274" xr:uid="{BFEEDD12-F12E-4C96-8564-9BCB14C84CAA}"/>
    <hyperlink ref="J134" r:id="rId275" xr:uid="{8BA4A3A4-0E01-4FBE-AADA-EE103A07E179}"/>
    <hyperlink ref="J135" r:id="rId276" xr:uid="{1CF6E3EF-28A2-43B3-B5D1-3D53A5971CCF}"/>
    <hyperlink ref="J136" r:id="rId277" xr:uid="{E357F4EA-9A26-45A9-AF50-8E41FFBDBBE7}"/>
    <hyperlink ref="J137" r:id="rId278" xr:uid="{A4EE6060-5EB5-43CF-8136-57F7228F170C}"/>
    <hyperlink ref="J138" r:id="rId279" xr:uid="{9302FDD4-9FAF-449B-B8DB-2FCE9B83D510}"/>
    <hyperlink ref="J139" r:id="rId280" xr:uid="{157E065B-B106-4160-9A2D-CF2B07FF5384}"/>
    <hyperlink ref="J140" r:id="rId281" xr:uid="{09289377-1DC5-4020-80BA-90F0A65A003C}"/>
    <hyperlink ref="J141" r:id="rId282" xr:uid="{3DD0E199-33A8-49F2-A26E-40814E8B9C7C}"/>
    <hyperlink ref="J142" r:id="rId283" xr:uid="{E0BF873F-212B-490D-87D0-9C49A56A4216}"/>
    <hyperlink ref="J143" r:id="rId284" xr:uid="{D397A0B6-4DCB-4184-8DEE-7CE3CC6BA1B3}"/>
    <hyperlink ref="J144" r:id="rId285" xr:uid="{6743C03E-7E24-4480-8AA7-B97722A0CC55}"/>
    <hyperlink ref="J145" r:id="rId286" xr:uid="{AF05A0C8-4EE8-4DA1-AA84-D009F8AE2349}"/>
    <hyperlink ref="J146" r:id="rId287" xr:uid="{4F1C2FF8-4BC2-4D99-A070-AAD3EBDF0843}"/>
    <hyperlink ref="J147" r:id="rId288" xr:uid="{645B3CAF-03CE-4403-B99A-0F9AAA22F8F6}"/>
    <hyperlink ref="I148" r:id="rId289" xr:uid="{D2ABBBE0-81B6-4413-A8D2-B4BEFB4A02DB}"/>
    <hyperlink ref="J148" r:id="rId290" xr:uid="{D25221C1-A51E-4F01-A2B7-AB654AC8E6BD}"/>
    <hyperlink ref="I149" r:id="rId291" xr:uid="{74C2399A-22C1-49A5-99CA-60E143C20725}"/>
    <hyperlink ref="J149" r:id="rId292" xr:uid="{C864E2A4-A175-440E-8EF8-2547CEFE8818}"/>
    <hyperlink ref="I150" r:id="rId293" xr:uid="{912C625E-0991-47E3-94BF-EFAF3B33D50F}"/>
    <hyperlink ref="J150" r:id="rId294" xr:uid="{CB729AF5-63A2-4504-92B2-DAFD3BA298D9}"/>
    <hyperlink ref="I151" r:id="rId295" xr:uid="{6D09A629-458C-43D2-9883-607B8EFC185E}"/>
    <hyperlink ref="J151" r:id="rId296" xr:uid="{695B4F08-3763-46F0-91C9-1E8C062DD61A}"/>
    <hyperlink ref="I152" r:id="rId297" xr:uid="{D291C944-40BF-4652-9396-2F587BFB7DC9}"/>
    <hyperlink ref="J152" r:id="rId298" xr:uid="{11439C13-2E20-4669-BD31-4A660E29CC45}"/>
    <hyperlink ref="I153" r:id="rId299" xr:uid="{14DE80A6-4B9E-42B4-9A60-62E26BCE1AE2}"/>
    <hyperlink ref="J153" r:id="rId300" xr:uid="{E4EE3E5E-DD95-401D-8ACA-90A6F977A210}"/>
    <hyperlink ref="I154" r:id="rId301" xr:uid="{5B491ACF-F984-45ED-B9B0-EC0F292BF11C}"/>
    <hyperlink ref="J154" r:id="rId302" xr:uid="{E7780A9F-BD35-4DCC-9B72-B6DE6FB4F4AA}"/>
    <hyperlink ref="I155" r:id="rId303" xr:uid="{6DBCF098-CE56-4A06-B6B3-DBDC853D68AB}"/>
    <hyperlink ref="J155" r:id="rId304" xr:uid="{8E0EA551-39CA-412D-B33E-8F64DE31ED0C}"/>
    <hyperlink ref="I156" r:id="rId305" xr:uid="{92E0E942-246B-43AB-9044-80B4D4F3D0BA}"/>
    <hyperlink ref="J156" r:id="rId306" xr:uid="{C05DBB5B-7ACC-41D6-955F-9D8D8A24C5AC}"/>
    <hyperlink ref="I157" r:id="rId307" xr:uid="{9737C483-98C6-49F3-B302-2EED7AF0787F}"/>
    <hyperlink ref="J157" r:id="rId308" xr:uid="{38509207-FD8A-434B-850B-09CF02030819}"/>
    <hyperlink ref="I158" r:id="rId309" xr:uid="{011E8823-EBC2-4C5B-99BE-94572A0B3700}"/>
    <hyperlink ref="J158" r:id="rId310" xr:uid="{8E42FFFD-3077-4B97-A5DD-BFDC2AD9674A}"/>
    <hyperlink ref="I159" r:id="rId311" xr:uid="{EB5A163B-7B75-4FB1-8704-A66873B70B16}"/>
    <hyperlink ref="J159" r:id="rId312" xr:uid="{BFCB9B2F-557A-431E-AF35-6A87A5B40319}"/>
    <hyperlink ref="I160" r:id="rId313" xr:uid="{6D3C569B-5C8A-4EB4-890F-33702294E268}"/>
    <hyperlink ref="J160" r:id="rId314" xr:uid="{A20B1F8C-D91A-4F16-8301-C08A1680186B}"/>
    <hyperlink ref="I161" r:id="rId315" xr:uid="{F4562769-F81F-40F8-8114-25C2FC8EDD79}"/>
    <hyperlink ref="J161" r:id="rId316" xr:uid="{45FD1684-7DA8-4141-9216-202D4A557265}"/>
    <hyperlink ref="I162" r:id="rId317" xr:uid="{35CF7D52-C942-4B61-8077-AD3D31838CA5}"/>
    <hyperlink ref="J162" r:id="rId318" xr:uid="{95EB50BD-60EF-4D57-B23F-92BD15E8DC5A}"/>
    <hyperlink ref="I163" r:id="rId319" xr:uid="{D6FACFB7-F7B6-4122-B387-59EF528F02F4}"/>
    <hyperlink ref="J163" r:id="rId320" xr:uid="{1AF5BE65-5194-4738-B7F1-204E967F317C}"/>
    <hyperlink ref="I164" r:id="rId321" xr:uid="{F1CAAA7D-B2B1-49C4-A7EC-F0D8F1EDB7E0}"/>
    <hyperlink ref="J164" r:id="rId322" xr:uid="{5986799C-D65D-452E-BE47-1FF142ECCC3A}"/>
    <hyperlink ref="I165" r:id="rId323" xr:uid="{0F99C822-6ABA-44C8-97F5-580A8964DDCA}"/>
    <hyperlink ref="J165" r:id="rId324" xr:uid="{808BCD20-56FD-487E-9E3F-260D233A2008}"/>
    <hyperlink ref="I166" r:id="rId325" xr:uid="{6B2F2A7E-6572-452B-9A68-8C8A794E2A57}"/>
    <hyperlink ref="J166" r:id="rId326" xr:uid="{6420947F-B261-484B-8EFE-3AE009FA9FD9}"/>
    <hyperlink ref="I167" r:id="rId327" xr:uid="{92A690C2-8CA8-4B68-BE43-9282B8197A0B}"/>
    <hyperlink ref="J167" r:id="rId328" xr:uid="{B4BC8975-FAF0-41AA-8449-A49D7F09CF8E}"/>
    <hyperlink ref="I168" r:id="rId329" xr:uid="{38A73A11-EA0D-418C-86CC-935D3AD05135}"/>
    <hyperlink ref="J168" r:id="rId330" xr:uid="{D509FF77-1070-4685-B952-CB4D96C2258D}"/>
    <hyperlink ref="I169" r:id="rId331" xr:uid="{DB8426FF-6590-4F70-9FC0-B2ACC4C3937B}"/>
    <hyperlink ref="J169" r:id="rId332" xr:uid="{6F12BBD4-DB11-402E-A75D-6EE9D657A724}"/>
    <hyperlink ref="I170" r:id="rId333" xr:uid="{3F6DB30F-3794-4447-AC3C-6BFDD009102E}"/>
    <hyperlink ref="J170" r:id="rId334" xr:uid="{6006B38F-3C1D-494B-AE08-51B0FBCE4127}"/>
    <hyperlink ref="I171" r:id="rId335" xr:uid="{98CD6F2A-00DB-4219-8A5D-A2A1783533D5}"/>
    <hyperlink ref="J171" r:id="rId336" xr:uid="{33C19CB3-76DC-450B-80F6-89C4E44268AA}"/>
    <hyperlink ref="I172" r:id="rId337" xr:uid="{E6203CDC-6E15-4178-807E-C98C9D9CCE29}"/>
    <hyperlink ref="J172" r:id="rId338" xr:uid="{540B45C2-A002-4195-ACAB-7D509D703A89}"/>
    <hyperlink ref="I173" r:id="rId339" xr:uid="{44AD67D7-142B-4A24-9DAD-FCE0CA6ECC6E}"/>
    <hyperlink ref="J173" r:id="rId340" xr:uid="{5EBC036C-9177-4E23-BDC5-458AC719FCFF}"/>
    <hyperlink ref="I174" r:id="rId341" xr:uid="{9025FADB-937A-456E-A051-7250A81FA602}"/>
    <hyperlink ref="J174" r:id="rId342" xr:uid="{E884DA9C-6156-4BC7-B548-F919F19AB768}"/>
    <hyperlink ref="I175" r:id="rId343" xr:uid="{AD85EE39-85AC-4B69-95A3-3E924F2E4F13}"/>
    <hyperlink ref="J175" r:id="rId344" xr:uid="{B8B7F00D-1D9D-4694-97A8-A80E30DC022F}"/>
    <hyperlink ref="I176" r:id="rId345" xr:uid="{24748B3E-DF9E-4534-97D9-DB39A95F4E42}"/>
    <hyperlink ref="J176" r:id="rId346" xr:uid="{63B43412-2C3C-4D40-933C-11D127E17C5C}"/>
    <hyperlink ref="I177" r:id="rId347" xr:uid="{E0C19CD4-5BAD-40C7-974D-C404370E001C}"/>
    <hyperlink ref="J177" r:id="rId348" xr:uid="{B651C8A2-F062-4FA9-825C-86C892D9D1FB}"/>
    <hyperlink ref="I178" r:id="rId349" xr:uid="{3AAF471B-08D8-4FCF-BE4C-EB4BE75262B8}"/>
    <hyperlink ref="J178" r:id="rId350" xr:uid="{8C87F5E0-947B-4A97-BDAA-16D17FB3573B}"/>
    <hyperlink ref="I179" r:id="rId351" xr:uid="{87B7DA65-B479-444B-8866-D804B6B38B19}"/>
    <hyperlink ref="J179" r:id="rId352" xr:uid="{629CA976-B8EC-4142-9424-0B06257F44C0}"/>
    <hyperlink ref="I180" r:id="rId353" xr:uid="{9E0BF98A-2B55-4764-A4CC-B1E6D3AA47FB}"/>
    <hyperlink ref="J180" r:id="rId354" xr:uid="{5AAB4911-3FD2-4427-82FE-64B9C5DAEFB5}"/>
    <hyperlink ref="I181" r:id="rId355" xr:uid="{B25283F9-BBAB-4786-B043-F4EA7ACA17AC}"/>
    <hyperlink ref="J181" r:id="rId356" xr:uid="{3B7366E0-F6E6-4F5F-9322-BF04D23C4B35}"/>
    <hyperlink ref="I182" r:id="rId357" xr:uid="{EAD7DE39-9387-4D41-9F8E-F40ED3854CD9}"/>
    <hyperlink ref="J182" r:id="rId358" xr:uid="{792B7945-A8A5-4F23-8221-7EA789ACD92C}"/>
    <hyperlink ref="I183" r:id="rId359" xr:uid="{4B335D3D-40BA-4C77-A69E-1015EEB47AFC}"/>
    <hyperlink ref="J183" r:id="rId360" xr:uid="{C11DC7D0-7D03-4D97-94F5-23EE1F75FFB1}"/>
    <hyperlink ref="I184" r:id="rId361" xr:uid="{2D504F9E-3DD6-4D19-B830-5A4AD1C97311}"/>
    <hyperlink ref="J184" r:id="rId362" xr:uid="{2CE383F3-0FB9-471A-B8B6-5B9D93C3F3DD}"/>
    <hyperlink ref="I185" r:id="rId363" xr:uid="{4913FC26-FCC2-486F-96AA-6158401B36A9}"/>
    <hyperlink ref="J185" r:id="rId364" xr:uid="{F3316851-9D3B-4955-9A70-ACABCC796879}"/>
    <hyperlink ref="I186" r:id="rId365" xr:uid="{ADE6CB34-5CC7-40CB-B328-9BFDFD689CBA}"/>
    <hyperlink ref="J186" r:id="rId366" xr:uid="{69EF34F6-5D16-45B8-B464-D116863C4048}"/>
    <hyperlink ref="I187" r:id="rId367" xr:uid="{B83CF56B-8ACD-40C0-90DA-FFCE764A9DB4}"/>
    <hyperlink ref="J187" r:id="rId368" xr:uid="{C228E199-E619-4B4F-A929-1F177D721C5A}"/>
    <hyperlink ref="I188" r:id="rId369" xr:uid="{790C7288-ECAC-4098-AAD0-2E8998B6220D}"/>
    <hyperlink ref="J188" r:id="rId370" xr:uid="{FBE1FC2E-20D7-44F9-A59F-87A01F3672E5}"/>
    <hyperlink ref="I189" r:id="rId371" xr:uid="{6C223CD7-73D6-4B0F-AD6C-CB42EAFBA38A}"/>
    <hyperlink ref="J189" r:id="rId372" xr:uid="{867A4498-A82B-4A1C-A186-586DB50C690A}"/>
    <hyperlink ref="I190" r:id="rId373" xr:uid="{8739035D-E884-4A55-BDD1-2BC26EF3E9F9}"/>
    <hyperlink ref="J190" r:id="rId374" xr:uid="{3FAF303D-CB24-4F83-A319-0B981BAD039D}"/>
    <hyperlink ref="I191" r:id="rId375" xr:uid="{7AA3AF9A-950C-4122-B697-3C0824E3A2AD}"/>
    <hyperlink ref="J191" r:id="rId376" xr:uid="{C237169D-98EF-49C3-8F1F-CE85151A022C}"/>
    <hyperlink ref="I192" r:id="rId377" xr:uid="{F83C6F8C-200A-45CD-AA82-D12E4A37E2FE}"/>
    <hyperlink ref="J192" r:id="rId378" xr:uid="{8E246AA1-7985-4A45-AF28-18E81E5327E1}"/>
    <hyperlink ref="I193" r:id="rId379" xr:uid="{0C1B5D15-4ACD-4023-9985-7145195CB775}"/>
    <hyperlink ref="J193" r:id="rId380" xr:uid="{1E270D1D-9739-4D7F-A236-215CEF21700E}"/>
    <hyperlink ref="I194" r:id="rId381" xr:uid="{92959DD8-B2D1-4969-A26F-ECB1BDEF32ED}"/>
    <hyperlink ref="J194" r:id="rId382" xr:uid="{463E398C-B50E-4564-9A60-4B9DED9C5B88}"/>
  </hyperlinks>
  <pageMargins left="1" right="1" top="1.6666666666666667" bottom="1.6666666666666667" header="1" footer="1"/>
  <pageSetup fitToWidth="0" fitToHeight="0" orientation="portrait" cellComments="asDisplayed"/>
  <headerFooter>
    <oddHeader>&amp;C&amp;A</oddHeader>
    <oddFooter>&amp;CPage &amp;P</oddFooter>
  </headerFooter>
  <drawing r:id="rId383"/>
  <legacyDrawing r:id="rId384"/>
  <mc:AlternateContent xmlns:mc="http://schemas.openxmlformats.org/markup-compatibility/2006">
    <mc:Choice Requires="x14">
      <controls>
        <mc:AlternateContent xmlns:mc="http://schemas.openxmlformats.org/markup-compatibility/2006">
          <mc:Choice Requires="x14">
            <control shapeId="8193" r:id="rId385" name="Button 1">
              <controlPr defaultSize="0" print="0" autoFill="0" autoPict="0" macro="[0]!SyncDataFromPriceList">
                <anchor moveWithCells="1" sizeWithCells="1">
                  <from>
                    <xdr:col>11</xdr:col>
                    <xdr:colOff>44450</xdr:colOff>
                    <xdr:row>1</xdr:row>
                    <xdr:rowOff>38100</xdr:rowOff>
                  </from>
                  <to>
                    <xdr:col>12</xdr:col>
                    <xdr:colOff>412750</xdr:colOff>
                    <xdr:row>2</xdr:row>
                    <xdr:rowOff>393700</xdr:rowOff>
                  </to>
                </anchor>
              </controlPr>
            </control>
          </mc:Choice>
        </mc:AlternateContent>
        <mc:AlternateContent xmlns:mc="http://schemas.openxmlformats.org/markup-compatibility/2006">
          <mc:Choice Requires="x14">
            <control shapeId="8194" r:id="rId386" name="Button 2">
              <controlPr defaultSize="0" print="0" autoFill="0" autoPict="0" macro="[0]!CreateHyperlinksToLocalFolders">
                <anchor moveWithCells="1" sizeWithCells="1">
                  <from>
                    <xdr:col>13</xdr:col>
                    <xdr:colOff>177800</xdr:colOff>
                    <xdr:row>1</xdr:row>
                    <xdr:rowOff>38100</xdr:rowOff>
                  </from>
                  <to>
                    <xdr:col>14</xdr:col>
                    <xdr:colOff>431800</xdr:colOff>
                    <xdr:row>2</xdr:row>
                    <xdr:rowOff>412750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C6A4A7-ADE7-4194-BC83-E418C13AF5B0}">
  <sheetPr codeName="Sheet4"/>
  <dimension ref="A1:L63"/>
  <sheetViews>
    <sheetView showGridLines="0" zoomScaleNormal="100" workbookViewId="0">
      <selection activeCell="J2" sqref="J2"/>
    </sheetView>
  </sheetViews>
  <sheetFormatPr defaultRowHeight="13"/>
  <cols>
    <col min="1" max="1" width="3.90625" style="49" customWidth="1"/>
    <col min="2" max="2" width="9.453125" style="119" customWidth="1"/>
    <col min="3" max="3" width="17.1796875" style="53" customWidth="1"/>
    <col min="4" max="4" width="11.54296875" style="166" customWidth="1"/>
    <col min="5" max="5" width="18.453125" style="120" customWidth="1"/>
    <col min="6" max="6" width="19.453125" style="53" customWidth="1"/>
    <col min="7" max="7" width="14.81640625" style="23" customWidth="1"/>
    <col min="8" max="8" width="11.54296875" style="117" customWidth="1"/>
    <col min="9" max="9" width="10.90625" style="23" customWidth="1"/>
    <col min="10" max="10" width="10.81640625" style="23" customWidth="1"/>
    <col min="11" max="11" width="16" style="120" customWidth="1"/>
    <col min="12" max="12" width="8.7265625" style="13"/>
  </cols>
  <sheetData>
    <row r="1" spans="1:11" customFormat="1" ht="27.65" customHeight="1">
      <c r="A1" s="33"/>
      <c r="B1" s="34" t="s">
        <v>946</v>
      </c>
      <c r="C1" s="24"/>
      <c r="D1" s="35"/>
      <c r="E1" s="24"/>
      <c r="F1" s="36"/>
      <c r="G1" s="4"/>
      <c r="H1" s="118"/>
      <c r="I1" s="4"/>
      <c r="J1" s="4"/>
      <c r="K1" s="24"/>
    </row>
    <row r="2" spans="1:11" s="21" customFormat="1" ht="13.25" customHeight="1">
      <c r="A2" s="37"/>
      <c r="B2" s="38" t="s">
        <v>776</v>
      </c>
      <c r="C2" s="39"/>
      <c r="D2" s="25"/>
      <c r="E2" s="25"/>
      <c r="F2" s="40"/>
      <c r="H2" s="115">
        <f>SUM(H4:H42)</f>
        <v>26750</v>
      </c>
      <c r="J2" s="21">
        <f>SUM(J4:J213)</f>
        <v>1706.3200000000004</v>
      </c>
      <c r="K2" s="25"/>
    </row>
    <row r="3" spans="1:11" customFormat="1" ht="27.65" customHeight="1">
      <c r="A3" s="41" t="s">
        <v>947</v>
      </c>
      <c r="B3" s="42" t="s">
        <v>766</v>
      </c>
      <c r="C3" s="43" t="s">
        <v>767</v>
      </c>
      <c r="D3" s="44" t="s">
        <v>768</v>
      </c>
      <c r="E3" s="43" t="s">
        <v>769</v>
      </c>
      <c r="F3" s="45" t="s">
        <v>770</v>
      </c>
      <c r="G3" s="46" t="s">
        <v>771</v>
      </c>
      <c r="H3" s="46" t="s">
        <v>772</v>
      </c>
      <c r="I3" s="122" t="s">
        <v>773</v>
      </c>
      <c r="J3" s="46" t="s">
        <v>774</v>
      </c>
      <c r="K3" s="43" t="s">
        <v>775</v>
      </c>
    </row>
    <row r="4" spans="1:11" customFormat="1">
      <c r="A4" s="49" t="s">
        <v>1070</v>
      </c>
      <c r="B4" s="50" t="s">
        <v>1099</v>
      </c>
      <c r="C4" s="48" t="s">
        <v>965</v>
      </c>
      <c r="D4" s="47" t="s">
        <v>966</v>
      </c>
      <c r="E4" s="26" t="s">
        <v>967</v>
      </c>
      <c r="F4" s="48" t="s">
        <v>968</v>
      </c>
      <c r="G4" s="22">
        <v>0</v>
      </c>
      <c r="H4" s="116">
        <v>1340</v>
      </c>
      <c r="I4" s="22">
        <v>0</v>
      </c>
      <c r="J4" s="22">
        <v>40.199999999999996</v>
      </c>
      <c r="K4" s="26"/>
    </row>
    <row r="5" spans="1:11" customFormat="1">
      <c r="A5" s="49" t="s">
        <v>1071</v>
      </c>
      <c r="B5" s="51" t="s">
        <v>1100</v>
      </c>
      <c r="C5" s="53" t="s">
        <v>969</v>
      </c>
      <c r="D5" s="52" t="s">
        <v>970</v>
      </c>
      <c r="E5" s="27" t="s">
        <v>971</v>
      </c>
      <c r="F5" s="53" t="s">
        <v>964</v>
      </c>
      <c r="G5" s="23">
        <v>50</v>
      </c>
      <c r="H5" s="117">
        <v>250</v>
      </c>
      <c r="I5" s="23">
        <v>200</v>
      </c>
      <c r="J5" s="23">
        <v>7.5</v>
      </c>
      <c r="K5" s="27"/>
    </row>
    <row r="6" spans="1:11" customFormat="1">
      <c r="A6" s="49" t="s">
        <v>1072</v>
      </c>
      <c r="B6" s="51"/>
      <c r="C6" s="53" t="s">
        <v>973</v>
      </c>
      <c r="D6" s="52" t="s">
        <v>974</v>
      </c>
      <c r="E6" s="27" t="s">
        <v>975</v>
      </c>
      <c r="F6" s="53" t="s">
        <v>976</v>
      </c>
      <c r="G6" s="23">
        <v>270</v>
      </c>
      <c r="H6" s="117">
        <v>500</v>
      </c>
      <c r="I6" s="23">
        <v>230</v>
      </c>
      <c r="J6" s="23">
        <v>15</v>
      </c>
      <c r="K6" s="27"/>
    </row>
    <row r="7" spans="1:11" customFormat="1">
      <c r="A7" s="49"/>
      <c r="B7" s="51"/>
      <c r="C7" s="53" t="s">
        <v>1102</v>
      </c>
      <c r="D7" s="52" t="s">
        <v>1103</v>
      </c>
      <c r="E7" s="27" t="s">
        <v>1105</v>
      </c>
      <c r="F7" s="53" t="s">
        <v>1104</v>
      </c>
      <c r="G7" s="23">
        <v>0</v>
      </c>
      <c r="H7" s="117">
        <v>450</v>
      </c>
      <c r="I7" s="23">
        <v>450</v>
      </c>
      <c r="J7" s="23">
        <v>13.5</v>
      </c>
      <c r="K7" s="27"/>
    </row>
    <row r="8" spans="1:11" customFormat="1">
      <c r="A8" s="49" t="s">
        <v>1073</v>
      </c>
      <c r="B8" s="51" t="s">
        <v>1101</v>
      </c>
      <c r="C8" s="53" t="s">
        <v>977</v>
      </c>
      <c r="D8" s="52" t="s">
        <v>978</v>
      </c>
      <c r="E8" s="27" t="s">
        <v>979</v>
      </c>
      <c r="F8" s="53" t="s">
        <v>980</v>
      </c>
      <c r="G8" s="23">
        <v>829</v>
      </c>
      <c r="H8" s="117">
        <v>829</v>
      </c>
      <c r="I8" s="23">
        <v>0</v>
      </c>
      <c r="J8" s="23">
        <v>24.87</v>
      </c>
      <c r="K8" s="27"/>
    </row>
    <row r="9" spans="1:11" customFormat="1">
      <c r="A9" s="49" t="s">
        <v>1074</v>
      </c>
      <c r="B9" s="51"/>
      <c r="C9" s="53" t="s">
        <v>981</v>
      </c>
      <c r="D9" s="52" t="s">
        <v>982</v>
      </c>
      <c r="E9" s="27" t="s">
        <v>983</v>
      </c>
      <c r="F9" s="53" t="s">
        <v>985</v>
      </c>
      <c r="G9" s="23">
        <v>0</v>
      </c>
      <c r="H9" s="117">
        <v>139</v>
      </c>
      <c r="I9" s="23">
        <v>139</v>
      </c>
      <c r="J9" s="23">
        <v>4.17</v>
      </c>
      <c r="K9" s="27" t="s">
        <v>984</v>
      </c>
    </row>
    <row r="10" spans="1:11" customFormat="1">
      <c r="A10" s="49" t="s">
        <v>1075</v>
      </c>
      <c r="B10" s="51"/>
      <c r="C10" s="53" t="s">
        <v>986</v>
      </c>
      <c r="D10" s="52" t="s">
        <v>987</v>
      </c>
      <c r="E10" s="27" t="s">
        <v>988</v>
      </c>
      <c r="F10" s="53" t="s">
        <v>1115</v>
      </c>
      <c r="G10" s="23">
        <v>0</v>
      </c>
      <c r="H10" s="117">
        <v>420</v>
      </c>
      <c r="I10" s="23">
        <v>420</v>
      </c>
      <c r="J10" s="23">
        <v>12.6</v>
      </c>
      <c r="K10" s="27"/>
    </row>
    <row r="11" spans="1:11" customFormat="1">
      <c r="A11" s="49" t="s">
        <v>1076</v>
      </c>
      <c r="B11" s="51"/>
      <c r="C11" s="53" t="s">
        <v>989</v>
      </c>
      <c r="D11" s="52" t="s">
        <v>990</v>
      </c>
      <c r="E11" s="27" t="s">
        <v>991</v>
      </c>
      <c r="F11" s="113" t="s">
        <v>992</v>
      </c>
      <c r="G11" s="114">
        <v>1000</v>
      </c>
      <c r="H11" s="117">
        <v>1790</v>
      </c>
      <c r="I11" s="23">
        <v>790</v>
      </c>
      <c r="J11" s="23">
        <v>53.7</v>
      </c>
      <c r="K11" s="27"/>
    </row>
    <row r="12" spans="1:11" customFormat="1">
      <c r="A12" s="49" t="s">
        <v>1077</v>
      </c>
      <c r="B12" s="51" t="s">
        <v>1106</v>
      </c>
      <c r="C12" s="53" t="s">
        <v>993</v>
      </c>
      <c r="D12" s="52" t="s">
        <v>994</v>
      </c>
      <c r="E12" s="27" t="s">
        <v>995</v>
      </c>
      <c r="F12" s="53" t="s">
        <v>996</v>
      </c>
      <c r="G12" s="114">
        <v>350</v>
      </c>
      <c r="H12" s="117">
        <v>1109</v>
      </c>
      <c r="I12" s="23">
        <v>759</v>
      </c>
      <c r="J12" s="23">
        <v>33.269999999999996</v>
      </c>
      <c r="K12" s="27"/>
    </row>
    <row r="13" spans="1:11" customFormat="1">
      <c r="A13" s="49" t="s">
        <v>1078</v>
      </c>
      <c r="B13" s="51"/>
      <c r="C13" s="53" t="s">
        <v>997</v>
      </c>
      <c r="D13" s="52" t="s">
        <v>998</v>
      </c>
      <c r="E13" s="27" t="s">
        <v>999</v>
      </c>
      <c r="F13" s="53" t="s">
        <v>1000</v>
      </c>
      <c r="G13" s="23">
        <v>0</v>
      </c>
      <c r="H13" s="117">
        <v>430</v>
      </c>
      <c r="I13" s="23">
        <v>430</v>
      </c>
      <c r="J13" s="23">
        <v>12.9</v>
      </c>
      <c r="K13" s="27"/>
    </row>
    <row r="14" spans="1:11" customFormat="1">
      <c r="A14" s="49" t="s">
        <v>1079</v>
      </c>
      <c r="B14" s="51" t="s">
        <v>1107</v>
      </c>
      <c r="C14" s="53" t="s">
        <v>1001</v>
      </c>
      <c r="D14" s="52" t="s">
        <v>1002</v>
      </c>
      <c r="E14" s="27" t="s">
        <v>1003</v>
      </c>
      <c r="F14" s="53" t="s">
        <v>1108</v>
      </c>
      <c r="G14" s="23">
        <v>100</v>
      </c>
      <c r="H14" s="117">
        <v>418</v>
      </c>
      <c r="I14" s="23">
        <v>318</v>
      </c>
      <c r="J14" s="23">
        <v>12.54</v>
      </c>
      <c r="K14" s="27"/>
    </row>
    <row r="15" spans="1:11" customFormat="1">
      <c r="A15" s="49" t="s">
        <v>1080</v>
      </c>
      <c r="B15" s="51"/>
      <c r="C15" s="53" t="s">
        <v>1004</v>
      </c>
      <c r="D15" s="52" t="s">
        <v>1005</v>
      </c>
      <c r="E15" s="27" t="s">
        <v>1006</v>
      </c>
      <c r="F15" s="53" t="s">
        <v>1007</v>
      </c>
      <c r="G15" s="23">
        <v>1000</v>
      </c>
      <c r="H15" s="117">
        <v>2010</v>
      </c>
      <c r="I15" s="23">
        <v>1010</v>
      </c>
      <c r="J15" s="23">
        <v>100.5</v>
      </c>
      <c r="K15" s="27"/>
    </row>
    <row r="16" spans="1:11" customFormat="1">
      <c r="A16" s="49" t="s">
        <v>1081</v>
      </c>
      <c r="B16" s="51" t="s">
        <v>1109</v>
      </c>
      <c r="C16" s="53" t="s">
        <v>981</v>
      </c>
      <c r="D16" s="52" t="s">
        <v>1008</v>
      </c>
      <c r="E16" s="27" t="s">
        <v>1009</v>
      </c>
      <c r="F16" s="53" t="s">
        <v>1013</v>
      </c>
      <c r="G16" s="23">
        <v>0</v>
      </c>
      <c r="H16" s="117">
        <v>129</v>
      </c>
      <c r="I16" s="23">
        <v>129</v>
      </c>
      <c r="J16" s="23">
        <v>3.8699999999999997</v>
      </c>
      <c r="K16" s="27"/>
    </row>
    <row r="17" spans="1:12">
      <c r="A17" s="49" t="s">
        <v>1082</v>
      </c>
      <c r="B17" s="51" t="s">
        <v>1110</v>
      </c>
      <c r="C17" s="53" t="s">
        <v>1014</v>
      </c>
      <c r="D17" s="52" t="s">
        <v>1015</v>
      </c>
      <c r="E17" s="27" t="s">
        <v>1016</v>
      </c>
      <c r="F17" s="53" t="s">
        <v>964</v>
      </c>
      <c r="G17" s="23">
        <v>40</v>
      </c>
      <c r="H17" s="117">
        <v>250</v>
      </c>
      <c r="I17" s="23">
        <v>210</v>
      </c>
      <c r="J17" s="23">
        <v>7.5</v>
      </c>
      <c r="K17" s="27"/>
      <c r="L17"/>
    </row>
    <row r="18" spans="1:12">
      <c r="A18" s="49" t="s">
        <v>1083</v>
      </c>
      <c r="B18" s="51"/>
      <c r="C18" s="53" t="s">
        <v>1022</v>
      </c>
      <c r="D18" s="52" t="s">
        <v>1023</v>
      </c>
      <c r="E18" s="27"/>
      <c r="F18" s="53" t="s">
        <v>1000</v>
      </c>
      <c r="G18" s="23">
        <v>0</v>
      </c>
      <c r="H18" s="117">
        <v>430</v>
      </c>
      <c r="I18" s="23">
        <v>430</v>
      </c>
      <c r="J18" s="23">
        <v>12.9</v>
      </c>
      <c r="K18" s="27"/>
      <c r="L18"/>
    </row>
    <row r="19" spans="1:12">
      <c r="A19" s="49" t="s">
        <v>1084</v>
      </c>
      <c r="B19" s="51"/>
      <c r="C19" s="53" t="s">
        <v>1024</v>
      </c>
      <c r="D19" s="52" t="s">
        <v>1025</v>
      </c>
      <c r="E19" s="27" t="s">
        <v>1026</v>
      </c>
      <c r="F19" s="53" t="s">
        <v>1028</v>
      </c>
      <c r="G19" s="23">
        <v>200</v>
      </c>
      <c r="H19" s="117">
        <v>780</v>
      </c>
      <c r="I19" s="23">
        <v>580</v>
      </c>
      <c r="J19" s="23">
        <v>23.4</v>
      </c>
      <c r="K19" s="27"/>
      <c r="L19"/>
    </row>
    <row r="20" spans="1:12">
      <c r="A20" s="49" t="s">
        <v>1085</v>
      </c>
      <c r="B20" s="51" t="s">
        <v>1111</v>
      </c>
      <c r="C20" s="53" t="s">
        <v>1029</v>
      </c>
      <c r="D20" s="52" t="s">
        <v>1030</v>
      </c>
      <c r="E20" s="27" t="s">
        <v>1031</v>
      </c>
      <c r="F20" s="53" t="s">
        <v>964</v>
      </c>
      <c r="G20" s="23">
        <v>150</v>
      </c>
      <c r="H20" s="117">
        <v>250</v>
      </c>
      <c r="I20" s="23">
        <v>100</v>
      </c>
      <c r="J20" s="23">
        <v>7.5</v>
      </c>
      <c r="K20" s="27"/>
      <c r="L20"/>
    </row>
    <row r="21" spans="1:12">
      <c r="A21" s="49" t="s">
        <v>1086</v>
      </c>
      <c r="B21" s="51"/>
      <c r="C21" s="53" t="s">
        <v>1032</v>
      </c>
      <c r="D21" s="52" t="s">
        <v>1033</v>
      </c>
      <c r="E21" s="27" t="s">
        <v>1034</v>
      </c>
      <c r="F21" s="53" t="s">
        <v>1035</v>
      </c>
      <c r="G21" s="23">
        <v>350</v>
      </c>
      <c r="H21" s="117">
        <v>350</v>
      </c>
      <c r="I21" s="23">
        <v>0</v>
      </c>
      <c r="J21" s="23">
        <f>H21*0.03</f>
        <v>10.5</v>
      </c>
      <c r="K21" s="27"/>
      <c r="L21"/>
    </row>
    <row r="22" spans="1:12">
      <c r="A22" s="49" t="s">
        <v>1087</v>
      </c>
      <c r="B22" s="51" t="s">
        <v>1112</v>
      </c>
      <c r="C22" s="53" t="s">
        <v>1036</v>
      </c>
      <c r="D22" s="52" t="s">
        <v>1037</v>
      </c>
      <c r="E22" s="27" t="s">
        <v>1038</v>
      </c>
      <c r="F22" s="53" t="s">
        <v>1039</v>
      </c>
      <c r="G22" s="23">
        <v>700</v>
      </c>
      <c r="H22" s="117">
        <v>700</v>
      </c>
      <c r="I22" s="23">
        <v>0</v>
      </c>
      <c r="J22" s="23">
        <v>21</v>
      </c>
      <c r="K22" s="27"/>
      <c r="L22"/>
    </row>
    <row r="23" spans="1:12">
      <c r="A23" s="49" t="s">
        <v>1088</v>
      </c>
      <c r="B23" s="51"/>
      <c r="C23" s="53" t="s">
        <v>1040</v>
      </c>
      <c r="D23" s="52" t="s">
        <v>1041</v>
      </c>
      <c r="E23" s="27" t="s">
        <v>1042</v>
      </c>
      <c r="F23" s="53" t="s">
        <v>1046</v>
      </c>
      <c r="G23" s="23">
        <v>760</v>
      </c>
      <c r="H23" s="117">
        <v>760</v>
      </c>
      <c r="I23" s="23">
        <v>0</v>
      </c>
      <c r="J23" s="23">
        <f>H23*0.03</f>
        <v>22.8</v>
      </c>
      <c r="K23" s="27"/>
      <c r="L23"/>
    </row>
    <row r="24" spans="1:12">
      <c r="A24" s="49" t="s">
        <v>1089</v>
      </c>
      <c r="B24" s="51"/>
      <c r="C24" s="53" t="s">
        <v>1113</v>
      </c>
      <c r="D24" s="52" t="s">
        <v>1043</v>
      </c>
      <c r="E24" s="27" t="s">
        <v>1044</v>
      </c>
      <c r="F24" s="53" t="s">
        <v>1045</v>
      </c>
      <c r="G24" s="23">
        <v>0</v>
      </c>
      <c r="H24" s="117">
        <v>390</v>
      </c>
      <c r="I24" s="23">
        <v>390</v>
      </c>
      <c r="J24" s="23">
        <v>11.7</v>
      </c>
      <c r="K24" s="27"/>
      <c r="L24"/>
    </row>
    <row r="25" spans="1:12">
      <c r="A25" s="49" t="s">
        <v>1090</v>
      </c>
      <c r="B25" s="51"/>
      <c r="C25" s="53" t="s">
        <v>1047</v>
      </c>
      <c r="D25" s="52" t="s">
        <v>1048</v>
      </c>
      <c r="E25" s="27" t="s">
        <v>1049</v>
      </c>
      <c r="F25" s="53" t="s">
        <v>1050</v>
      </c>
      <c r="G25" s="23">
        <v>0</v>
      </c>
      <c r="H25" s="117">
        <v>490</v>
      </c>
      <c r="I25" s="23">
        <v>490</v>
      </c>
      <c r="J25" s="23">
        <v>14.7</v>
      </c>
      <c r="K25" s="27"/>
      <c r="L25"/>
    </row>
    <row r="26" spans="1:12">
      <c r="A26" s="49" t="s">
        <v>1091</v>
      </c>
      <c r="B26" s="51"/>
      <c r="C26" s="53" t="s">
        <v>1051</v>
      </c>
      <c r="D26" s="52" t="s">
        <v>1052</v>
      </c>
      <c r="E26" s="27" t="s">
        <v>1053</v>
      </c>
      <c r="F26" s="53" t="s">
        <v>1054</v>
      </c>
      <c r="G26" s="23">
        <v>0</v>
      </c>
      <c r="H26" s="117">
        <v>370</v>
      </c>
      <c r="I26" s="23">
        <v>370</v>
      </c>
      <c r="J26" s="23">
        <v>11.1</v>
      </c>
      <c r="K26" s="27"/>
      <c r="L26"/>
    </row>
    <row r="27" spans="1:12">
      <c r="A27" s="49" t="s">
        <v>1092</v>
      </c>
      <c r="B27" s="51"/>
      <c r="C27" s="53" t="s">
        <v>1055</v>
      </c>
      <c r="D27" s="52" t="s">
        <v>1056</v>
      </c>
      <c r="E27" s="27" t="s">
        <v>1057</v>
      </c>
      <c r="F27" s="53" t="s">
        <v>1058</v>
      </c>
      <c r="G27" s="23">
        <v>0</v>
      </c>
      <c r="H27" s="117">
        <v>380</v>
      </c>
      <c r="I27" s="23">
        <v>380</v>
      </c>
      <c r="J27" s="23">
        <f>H27*0.03</f>
        <v>11.4</v>
      </c>
      <c r="K27" s="27" t="s">
        <v>1059</v>
      </c>
      <c r="L27"/>
    </row>
    <row r="28" spans="1:12">
      <c r="A28" s="49" t="s">
        <v>1093</v>
      </c>
      <c r="B28" s="54"/>
      <c r="C28" s="53" t="s">
        <v>1060</v>
      </c>
      <c r="D28" s="52" t="s">
        <v>1061</v>
      </c>
      <c r="E28" s="27" t="s">
        <v>1062</v>
      </c>
      <c r="F28" s="53" t="s">
        <v>1114</v>
      </c>
      <c r="G28" s="23">
        <v>0</v>
      </c>
      <c r="H28" s="117">
        <v>540</v>
      </c>
      <c r="I28" s="23">
        <v>350</v>
      </c>
      <c r="J28" s="23">
        <v>16.2</v>
      </c>
      <c r="K28" s="27"/>
      <c r="L28"/>
    </row>
    <row r="29" spans="1:12">
      <c r="A29" s="49" t="s">
        <v>1094</v>
      </c>
      <c r="B29" s="51" t="s">
        <v>1116</v>
      </c>
      <c r="C29" s="53" t="s">
        <v>1120</v>
      </c>
      <c r="D29" s="52" t="s">
        <v>1121</v>
      </c>
      <c r="E29" s="27" t="s">
        <v>1122</v>
      </c>
      <c r="F29" s="53" t="s">
        <v>1123</v>
      </c>
      <c r="G29" s="23">
        <v>0</v>
      </c>
      <c r="H29" s="117">
        <v>550</v>
      </c>
      <c r="I29" s="23">
        <v>550</v>
      </c>
      <c r="J29" s="23">
        <v>16.5</v>
      </c>
      <c r="K29" s="27"/>
      <c r="L29"/>
    </row>
    <row r="30" spans="1:12">
      <c r="A30" s="49" t="s">
        <v>1095</v>
      </c>
      <c r="B30" s="51"/>
      <c r="C30" s="53" t="s">
        <v>1124</v>
      </c>
      <c r="D30" s="52" t="s">
        <v>1125</v>
      </c>
      <c r="E30" s="27" t="s">
        <v>1126</v>
      </c>
      <c r="F30" s="53" t="s">
        <v>1127</v>
      </c>
      <c r="G30" s="23">
        <v>0</v>
      </c>
      <c r="H30" s="117">
        <v>390</v>
      </c>
      <c r="I30" s="23">
        <v>390</v>
      </c>
      <c r="J30" s="23">
        <f>I30*0.03</f>
        <v>11.7</v>
      </c>
      <c r="K30" s="27"/>
      <c r="L30"/>
    </row>
    <row r="31" spans="1:12">
      <c r="A31" s="49" t="s">
        <v>1096</v>
      </c>
      <c r="B31" s="119">
        <v>45755</v>
      </c>
      <c r="C31" s="53" t="s">
        <v>962</v>
      </c>
      <c r="D31" s="121" t="s">
        <v>963</v>
      </c>
      <c r="E31" s="120" t="s">
        <v>1128</v>
      </c>
      <c r="F31" s="53" t="s">
        <v>964</v>
      </c>
      <c r="G31" s="23">
        <v>0</v>
      </c>
      <c r="H31" s="117">
        <v>250</v>
      </c>
      <c r="I31" s="23">
        <v>250</v>
      </c>
      <c r="J31" s="23">
        <v>7.5</v>
      </c>
    </row>
    <row r="32" spans="1:12">
      <c r="A32" s="49" t="s">
        <v>1097</v>
      </c>
      <c r="C32" s="53" t="s">
        <v>1129</v>
      </c>
      <c r="D32" s="121" t="s">
        <v>1130</v>
      </c>
      <c r="E32" s="120" t="s">
        <v>1131</v>
      </c>
      <c r="F32" s="53" t="s">
        <v>1133</v>
      </c>
      <c r="G32" s="23">
        <v>0</v>
      </c>
      <c r="H32" s="117">
        <v>539</v>
      </c>
      <c r="I32" s="23">
        <v>539</v>
      </c>
      <c r="J32" s="23">
        <v>16</v>
      </c>
      <c r="K32" s="120" t="s">
        <v>1132</v>
      </c>
    </row>
    <row r="33" spans="1:12">
      <c r="A33" s="49" t="s">
        <v>1098</v>
      </c>
      <c r="B33" s="54"/>
      <c r="C33" s="53" t="s">
        <v>1022</v>
      </c>
      <c r="D33" s="121"/>
      <c r="F33" s="53" t="s">
        <v>1141</v>
      </c>
      <c r="H33" s="117">
        <v>550</v>
      </c>
      <c r="I33" s="23">
        <v>550</v>
      </c>
      <c r="J33" s="23">
        <f>I33*0.03</f>
        <v>16.5</v>
      </c>
    </row>
    <row r="34" spans="1:12">
      <c r="A34" s="49" t="s">
        <v>1117</v>
      </c>
      <c r="B34" s="54"/>
      <c r="C34" s="53" t="s">
        <v>1135</v>
      </c>
      <c r="D34" s="121" t="s">
        <v>1134</v>
      </c>
      <c r="E34" s="120" t="s">
        <v>1136</v>
      </c>
      <c r="F34" s="53" t="s">
        <v>964</v>
      </c>
      <c r="G34" s="23">
        <v>130</v>
      </c>
      <c r="H34" s="117">
        <v>250</v>
      </c>
      <c r="I34" s="23">
        <v>120</v>
      </c>
      <c r="J34" s="23">
        <v>7.5</v>
      </c>
    </row>
    <row r="35" spans="1:12" ht="13.5" thickBot="1">
      <c r="A35" s="49" t="s">
        <v>1118</v>
      </c>
      <c r="B35" s="54">
        <v>45785</v>
      </c>
      <c r="C35" s="53" t="s">
        <v>1137</v>
      </c>
      <c r="D35" s="121" t="s">
        <v>1138</v>
      </c>
      <c r="E35" s="120" t="s">
        <v>1139</v>
      </c>
      <c r="F35" s="53" t="s">
        <v>1140</v>
      </c>
      <c r="G35" s="23">
        <v>2598</v>
      </c>
      <c r="H35" s="117">
        <v>2598</v>
      </c>
      <c r="I35" s="23">
        <v>0</v>
      </c>
      <c r="J35" s="23">
        <v>129.9</v>
      </c>
    </row>
    <row r="36" spans="1:12" ht="26">
      <c r="A36" s="49" t="s">
        <v>1119</v>
      </c>
      <c r="B36" s="138"/>
      <c r="C36" s="139" t="s">
        <v>1069</v>
      </c>
      <c r="D36" s="140">
        <v>932838584</v>
      </c>
      <c r="E36" s="140" t="s">
        <v>1142</v>
      </c>
      <c r="F36" s="141" t="s">
        <v>1143</v>
      </c>
      <c r="G36" s="142">
        <v>250</v>
      </c>
      <c r="H36" s="142">
        <v>3250</v>
      </c>
      <c r="I36" s="143">
        <v>3000</v>
      </c>
      <c r="J36" s="143"/>
      <c r="K36" s="145"/>
      <c r="L36" s="144"/>
    </row>
    <row r="37" spans="1:12">
      <c r="A37" s="49">
        <v>34</v>
      </c>
      <c r="B37" s="119">
        <v>45785</v>
      </c>
      <c r="C37" s="53" t="s">
        <v>1144</v>
      </c>
      <c r="D37" s="121" t="s">
        <v>1145</v>
      </c>
      <c r="E37" s="120" t="s">
        <v>1146</v>
      </c>
      <c r="F37" s="53" t="s">
        <v>964</v>
      </c>
      <c r="G37" s="23">
        <v>0</v>
      </c>
      <c r="H37" s="117">
        <v>250</v>
      </c>
      <c r="I37" s="23">
        <v>250</v>
      </c>
      <c r="J37" s="23">
        <v>7.5</v>
      </c>
    </row>
    <row r="38" spans="1:12">
      <c r="A38" s="49">
        <v>35</v>
      </c>
      <c r="B38" s="119">
        <v>45785</v>
      </c>
      <c r="C38" s="53" t="s">
        <v>1124</v>
      </c>
      <c r="D38" s="121" t="s">
        <v>1125</v>
      </c>
      <c r="E38" s="120" t="s">
        <v>1126</v>
      </c>
      <c r="F38" s="53" t="s">
        <v>1147</v>
      </c>
      <c r="G38" s="23">
        <v>0</v>
      </c>
      <c r="H38" s="117">
        <v>269</v>
      </c>
      <c r="I38" s="23">
        <v>269</v>
      </c>
      <c r="J38" s="23">
        <v>8.07</v>
      </c>
    </row>
    <row r="39" spans="1:12">
      <c r="A39" s="49">
        <v>36</v>
      </c>
      <c r="B39" s="119">
        <v>45846</v>
      </c>
      <c r="C39" s="53" t="s">
        <v>1160</v>
      </c>
      <c r="D39" s="121" t="s">
        <v>1155</v>
      </c>
      <c r="E39" s="120" t="s">
        <v>1156</v>
      </c>
      <c r="F39" s="53" t="s">
        <v>1161</v>
      </c>
      <c r="G39" s="23">
        <v>200</v>
      </c>
      <c r="H39" s="117">
        <v>1500</v>
      </c>
      <c r="I39" s="23">
        <v>1300</v>
      </c>
      <c r="J39" s="23">
        <f>0.03*1500</f>
        <v>45</v>
      </c>
    </row>
    <row r="40" spans="1:12">
      <c r="A40" s="49">
        <v>37</v>
      </c>
      <c r="B40" s="119">
        <v>45846</v>
      </c>
      <c r="C40" s="53" t="s">
        <v>1158</v>
      </c>
      <c r="D40" s="121" t="s">
        <v>1157</v>
      </c>
      <c r="E40" s="120" t="s">
        <v>1159</v>
      </c>
      <c r="F40" s="53" t="s">
        <v>964</v>
      </c>
      <c r="G40" s="23">
        <v>250</v>
      </c>
      <c r="H40" s="117">
        <v>250</v>
      </c>
      <c r="I40" s="23">
        <v>0</v>
      </c>
      <c r="J40" s="23">
        <v>7.5</v>
      </c>
    </row>
    <row r="41" spans="1:12">
      <c r="A41" s="49">
        <v>38</v>
      </c>
      <c r="B41" s="119">
        <v>45846</v>
      </c>
      <c r="C41" s="53" t="s">
        <v>1162</v>
      </c>
      <c r="D41" s="121" t="s">
        <v>1163</v>
      </c>
      <c r="E41" s="120" t="s">
        <v>1164</v>
      </c>
      <c r="F41" s="53" t="s">
        <v>964</v>
      </c>
      <c r="G41" s="23">
        <v>0</v>
      </c>
      <c r="H41" s="117">
        <v>350</v>
      </c>
      <c r="I41" s="23">
        <v>350</v>
      </c>
      <c r="J41" s="23">
        <v>10.5</v>
      </c>
      <c r="K41" s="120" t="s">
        <v>1165</v>
      </c>
    </row>
    <row r="42" spans="1:12">
      <c r="A42" s="49">
        <v>39</v>
      </c>
      <c r="B42" s="119">
        <v>45846</v>
      </c>
      <c r="C42" s="53" t="s">
        <v>1166</v>
      </c>
      <c r="D42" s="121" t="s">
        <v>1167</v>
      </c>
      <c r="E42" s="120" t="s">
        <v>1168</v>
      </c>
      <c r="F42" s="53" t="s">
        <v>964</v>
      </c>
      <c r="G42" s="23">
        <v>0</v>
      </c>
      <c r="H42" s="117">
        <v>250</v>
      </c>
      <c r="I42" s="23">
        <v>250</v>
      </c>
      <c r="J42" s="23">
        <v>7.5</v>
      </c>
    </row>
    <row r="43" spans="1:12">
      <c r="A43" s="49">
        <v>40</v>
      </c>
      <c r="B43" s="119">
        <v>45908</v>
      </c>
      <c r="C43" s="53" t="s">
        <v>1170</v>
      </c>
      <c r="D43" s="121" t="s">
        <v>1023</v>
      </c>
      <c r="F43" s="53" t="s">
        <v>1171</v>
      </c>
      <c r="G43" s="23">
        <v>0</v>
      </c>
      <c r="H43" s="117">
        <v>800</v>
      </c>
      <c r="I43" s="23">
        <v>800</v>
      </c>
      <c r="J43" s="23">
        <v>24</v>
      </c>
    </row>
    <row r="44" spans="1:12">
      <c r="A44" s="49">
        <v>41</v>
      </c>
      <c r="B44" s="119">
        <v>45908</v>
      </c>
      <c r="C44" s="53" t="s">
        <v>1172</v>
      </c>
      <c r="D44" s="121" t="s">
        <v>1173</v>
      </c>
      <c r="E44" s="120" t="s">
        <v>1174</v>
      </c>
      <c r="F44" s="53" t="s">
        <v>1243</v>
      </c>
      <c r="G44" s="23">
        <v>0</v>
      </c>
      <c r="H44" s="117">
        <v>700</v>
      </c>
      <c r="I44" s="23">
        <v>700</v>
      </c>
      <c r="J44" s="23">
        <f>H44*0.03</f>
        <v>21</v>
      </c>
    </row>
    <row r="45" spans="1:12">
      <c r="A45" s="49">
        <v>42</v>
      </c>
      <c r="B45" s="119">
        <v>45908</v>
      </c>
      <c r="C45" s="53" t="s">
        <v>1177</v>
      </c>
      <c r="D45" s="121" t="s">
        <v>982</v>
      </c>
      <c r="E45" s="120" t="s">
        <v>1178</v>
      </c>
      <c r="F45" s="53" t="s">
        <v>1199</v>
      </c>
      <c r="G45" s="23">
        <v>0</v>
      </c>
      <c r="H45" s="117">
        <v>1499</v>
      </c>
      <c r="I45" s="23">
        <v>1499</v>
      </c>
      <c r="J45" s="23">
        <v>44.97</v>
      </c>
      <c r="K45" s="120" t="s">
        <v>1200</v>
      </c>
    </row>
    <row r="46" spans="1:12">
      <c r="A46" s="49">
        <v>43</v>
      </c>
      <c r="B46" s="119">
        <v>45908</v>
      </c>
      <c r="C46" s="53" t="s">
        <v>1202</v>
      </c>
      <c r="D46" s="121" t="s">
        <v>1201</v>
      </c>
      <c r="E46" s="120" t="s">
        <v>1203</v>
      </c>
      <c r="F46" s="53" t="s">
        <v>1204</v>
      </c>
      <c r="G46" s="23">
        <v>0</v>
      </c>
      <c r="H46" s="117">
        <v>889</v>
      </c>
      <c r="I46" s="23">
        <v>889</v>
      </c>
      <c r="J46" s="23">
        <v>26.669999999999998</v>
      </c>
    </row>
    <row r="47" spans="1:12">
      <c r="A47" s="49">
        <v>44</v>
      </c>
      <c r="B47" s="119">
        <v>45879.753564814811</v>
      </c>
      <c r="C47" s="53" t="s">
        <v>1207</v>
      </c>
      <c r="D47" s="121" t="s">
        <v>1205</v>
      </c>
      <c r="E47" s="120" t="s">
        <v>1206</v>
      </c>
      <c r="F47" s="53" t="s">
        <v>964</v>
      </c>
      <c r="G47" s="23">
        <v>0</v>
      </c>
      <c r="H47" s="117">
        <v>350</v>
      </c>
      <c r="I47" s="23">
        <v>350</v>
      </c>
      <c r="J47" s="23">
        <v>10.5</v>
      </c>
    </row>
    <row r="48" spans="1:12">
      <c r="A48" s="49">
        <v>45</v>
      </c>
      <c r="B48" s="119">
        <v>45879.754594907405</v>
      </c>
      <c r="C48" s="53" t="s">
        <v>1210</v>
      </c>
      <c r="D48" s="121" t="s">
        <v>1208</v>
      </c>
      <c r="E48" s="120" t="s">
        <v>1209</v>
      </c>
      <c r="F48" s="53" t="s">
        <v>1211</v>
      </c>
      <c r="G48" s="23">
        <v>0</v>
      </c>
      <c r="H48" s="117">
        <v>580</v>
      </c>
      <c r="I48" s="23">
        <v>580</v>
      </c>
      <c r="J48" s="23">
        <v>17.399999999999999</v>
      </c>
    </row>
    <row r="49" spans="1:11">
      <c r="A49" s="49">
        <v>46</v>
      </c>
      <c r="B49" s="119">
        <v>45880.520439814813</v>
      </c>
      <c r="C49" s="53" t="s">
        <v>1137</v>
      </c>
      <c r="D49" s="121" t="s">
        <v>1138</v>
      </c>
      <c r="E49" s="120" t="s">
        <v>1221</v>
      </c>
      <c r="F49" s="53" t="s">
        <v>1238</v>
      </c>
      <c r="G49" s="23">
        <v>3578</v>
      </c>
      <c r="H49" s="117">
        <v>4678</v>
      </c>
      <c r="I49" s="4">
        <v>1100</v>
      </c>
      <c r="J49" s="23">
        <f>H49*0.05</f>
        <v>233.9</v>
      </c>
    </row>
    <row r="50" spans="1:11">
      <c r="A50" s="49">
        <v>47</v>
      </c>
      <c r="B50" s="119">
        <v>45880.521608796298</v>
      </c>
      <c r="C50" s="53" t="s">
        <v>1223</v>
      </c>
      <c r="D50" s="121" t="s">
        <v>1222</v>
      </c>
      <c r="E50" s="120" t="s">
        <v>1224</v>
      </c>
      <c r="F50" s="53" t="s">
        <v>1225</v>
      </c>
      <c r="G50" s="23">
        <v>0</v>
      </c>
      <c r="H50" s="117">
        <v>315</v>
      </c>
      <c r="I50" s="23">
        <v>315</v>
      </c>
      <c r="J50" s="23">
        <f>H50*0.03</f>
        <v>9.4499999999999993</v>
      </c>
    </row>
    <row r="51" spans="1:11">
      <c r="A51" s="49">
        <v>48</v>
      </c>
      <c r="B51" s="119">
        <v>45881.453541666669</v>
      </c>
      <c r="C51" s="53" t="s">
        <v>1239</v>
      </c>
      <c r="D51" s="121" t="s">
        <v>1240</v>
      </c>
      <c r="E51" s="120" t="s">
        <v>1241</v>
      </c>
      <c r="F51" s="53" t="s">
        <v>1242</v>
      </c>
      <c r="G51" s="23">
        <v>0</v>
      </c>
      <c r="H51" s="117">
        <v>350</v>
      </c>
      <c r="I51" s="23">
        <v>350</v>
      </c>
      <c r="J51" s="23">
        <v>10.5</v>
      </c>
    </row>
    <row r="52" spans="1:11">
      <c r="A52" s="49" t="s">
        <v>1248</v>
      </c>
      <c r="B52" s="119" t="s">
        <v>1249</v>
      </c>
      <c r="C52" s="53" t="s">
        <v>1244</v>
      </c>
      <c r="D52" s="121" t="s">
        <v>1245</v>
      </c>
      <c r="E52" s="120" t="s">
        <v>1246</v>
      </c>
      <c r="F52" s="53" t="s">
        <v>1247</v>
      </c>
      <c r="G52" s="23">
        <v>0</v>
      </c>
      <c r="H52" s="117">
        <v>490</v>
      </c>
      <c r="I52" s="23">
        <v>480</v>
      </c>
      <c r="J52" s="23">
        <f>H45*0.03</f>
        <v>44.97</v>
      </c>
      <c r="K52" s="120" t="s">
        <v>1250</v>
      </c>
    </row>
    <row r="53" spans="1:11">
      <c r="A53" s="49">
        <v>50</v>
      </c>
      <c r="B53" s="119" t="s">
        <v>1249</v>
      </c>
      <c r="C53" s="53" t="s">
        <v>1252</v>
      </c>
      <c r="D53" s="121" t="s">
        <v>1251</v>
      </c>
      <c r="E53" s="120" t="s">
        <v>1253</v>
      </c>
      <c r="F53" s="53" t="s">
        <v>964</v>
      </c>
      <c r="G53" s="23">
        <v>0</v>
      </c>
      <c r="H53" s="117">
        <v>180</v>
      </c>
      <c r="I53" s="23">
        <v>180</v>
      </c>
      <c r="J53" s="23">
        <f>H53*0.03</f>
        <v>5.3999999999999995</v>
      </c>
      <c r="K53" s="120" t="s">
        <v>1254</v>
      </c>
    </row>
    <row r="54" spans="1:11">
      <c r="A54" s="49">
        <v>51</v>
      </c>
      <c r="B54" s="119">
        <v>45883.499583333331</v>
      </c>
      <c r="C54" s="53" t="s">
        <v>1257</v>
      </c>
      <c r="D54" s="121" t="s">
        <v>1255</v>
      </c>
      <c r="E54" s="120" t="s">
        <v>1256</v>
      </c>
      <c r="F54" s="53" t="s">
        <v>964</v>
      </c>
      <c r="G54" s="23">
        <v>0</v>
      </c>
      <c r="H54" s="117">
        <v>350</v>
      </c>
      <c r="I54" s="23">
        <v>350</v>
      </c>
      <c r="J54" s="23">
        <v>10.5</v>
      </c>
      <c r="K54" s="120" t="s">
        <v>1258</v>
      </c>
    </row>
    <row r="55" spans="1:11">
      <c r="A55" s="49">
        <v>52</v>
      </c>
      <c r="B55" s="119">
        <v>45883.500162037039</v>
      </c>
      <c r="C55" s="53" t="s">
        <v>1260</v>
      </c>
      <c r="D55" s="121" t="s">
        <v>1259</v>
      </c>
      <c r="E55" s="120" t="s">
        <v>1261</v>
      </c>
      <c r="F55" s="53" t="s">
        <v>964</v>
      </c>
      <c r="G55" s="23">
        <v>0</v>
      </c>
      <c r="H55" s="117">
        <v>250</v>
      </c>
      <c r="I55" s="23">
        <v>250</v>
      </c>
      <c r="J55" s="23">
        <v>7.5</v>
      </c>
    </row>
    <row r="56" spans="1:11">
      <c r="A56" s="49">
        <v>53</v>
      </c>
      <c r="B56" s="119">
        <v>45883.500925925924</v>
      </c>
      <c r="C56" s="53" t="s">
        <v>1263</v>
      </c>
      <c r="D56" s="121" t="s">
        <v>1262</v>
      </c>
      <c r="E56" s="120" t="s">
        <v>1264</v>
      </c>
      <c r="F56" s="53" t="s">
        <v>1265</v>
      </c>
      <c r="G56" s="23">
        <v>0</v>
      </c>
      <c r="H56" s="117">
        <v>390</v>
      </c>
      <c r="I56" s="23">
        <v>390</v>
      </c>
      <c r="J56" s="23">
        <f>H56*0.03</f>
        <v>11.7</v>
      </c>
    </row>
    <row r="57" spans="1:11">
      <c r="A57" s="49">
        <v>54</v>
      </c>
      <c r="B57" s="119">
        <v>45883.502187500002</v>
      </c>
      <c r="C57" s="53" t="s">
        <v>1267</v>
      </c>
      <c r="D57" s="121" t="s">
        <v>1266</v>
      </c>
      <c r="E57" s="120" t="s">
        <v>1268</v>
      </c>
      <c r="F57" s="53" t="s">
        <v>1147</v>
      </c>
      <c r="G57" s="23">
        <v>0</v>
      </c>
      <c r="H57" s="162">
        <v>269</v>
      </c>
      <c r="I57" s="23">
        <v>269</v>
      </c>
      <c r="J57" s="23">
        <v>8.07</v>
      </c>
    </row>
    <row r="58" spans="1:11">
      <c r="A58" s="49">
        <v>55</v>
      </c>
      <c r="B58" s="119">
        <v>45883.502974537034</v>
      </c>
      <c r="C58" s="53" t="s">
        <v>1269</v>
      </c>
      <c r="D58" s="121" t="s">
        <v>1270</v>
      </c>
      <c r="E58" s="120" t="s">
        <v>1271</v>
      </c>
      <c r="F58" s="53" t="s">
        <v>976</v>
      </c>
      <c r="G58" s="23">
        <v>0</v>
      </c>
      <c r="H58" s="117">
        <v>500</v>
      </c>
      <c r="I58" s="23">
        <v>500</v>
      </c>
      <c r="J58" s="23">
        <v>15</v>
      </c>
    </row>
    <row r="59" spans="1:11">
      <c r="A59" s="49">
        <v>56</v>
      </c>
      <c r="B59" s="119">
        <v>45883.503657407404</v>
      </c>
      <c r="C59" s="53" t="s">
        <v>1273</v>
      </c>
      <c r="D59" s="121" t="s">
        <v>1272</v>
      </c>
      <c r="E59" s="120" t="s">
        <v>979</v>
      </c>
      <c r="F59" s="53" t="s">
        <v>1247</v>
      </c>
      <c r="G59" s="23">
        <v>0</v>
      </c>
      <c r="H59" s="117">
        <v>490</v>
      </c>
      <c r="I59" s="23">
        <v>480</v>
      </c>
      <c r="J59" s="23">
        <f>H52*0.03</f>
        <v>14.7</v>
      </c>
      <c r="K59" s="120" t="s">
        <v>1274</v>
      </c>
    </row>
    <row r="60" spans="1:11">
      <c r="A60" s="49" t="s">
        <v>1285</v>
      </c>
      <c r="C60" s="113" t="s">
        <v>1283</v>
      </c>
      <c r="D60" s="163"/>
      <c r="E60" s="164"/>
      <c r="F60" s="113" t="s">
        <v>1284</v>
      </c>
      <c r="G60" s="114"/>
      <c r="H60" s="165">
        <v>6500</v>
      </c>
      <c r="I60" s="114">
        <v>6500</v>
      </c>
      <c r="J60" s="23">
        <f>H60*0.05</f>
        <v>325</v>
      </c>
    </row>
    <row r="61" spans="1:11">
      <c r="A61" s="49" t="s">
        <v>1290</v>
      </c>
      <c r="B61" s="119">
        <v>45884.479479166665</v>
      </c>
      <c r="C61" s="53" t="s">
        <v>1279</v>
      </c>
      <c r="D61" s="121" t="s">
        <v>1280</v>
      </c>
      <c r="E61" s="120" t="s">
        <v>1281</v>
      </c>
      <c r="F61" s="53" t="s">
        <v>1282</v>
      </c>
      <c r="G61" s="23">
        <v>0</v>
      </c>
      <c r="H61" s="117">
        <v>780</v>
      </c>
      <c r="I61" s="23">
        <v>780</v>
      </c>
      <c r="J61" s="23">
        <f>H61*0.03</f>
        <v>23.4</v>
      </c>
    </row>
    <row r="62" spans="1:11">
      <c r="A62" s="49">
        <v>59</v>
      </c>
      <c r="B62" s="119">
        <v>45884.4840625</v>
      </c>
      <c r="C62" s="53" t="s">
        <v>1286</v>
      </c>
      <c r="D62" s="121" t="s">
        <v>1287</v>
      </c>
      <c r="E62" s="120" t="s">
        <v>1288</v>
      </c>
      <c r="F62" s="53" t="s">
        <v>1289</v>
      </c>
      <c r="G62" s="23">
        <v>0</v>
      </c>
      <c r="H62" s="117">
        <v>290</v>
      </c>
      <c r="I62" s="23">
        <v>290</v>
      </c>
      <c r="J62" s="23">
        <v>8.6999999999999993</v>
      </c>
    </row>
    <row r="63" spans="1:11">
      <c r="A63" s="49">
        <v>60</v>
      </c>
      <c r="B63" s="119">
        <v>45885.432071759256</v>
      </c>
      <c r="C63" s="53" t="s">
        <v>1291</v>
      </c>
      <c r="D63" s="121" t="s">
        <v>1292</v>
      </c>
      <c r="E63" s="120" t="s">
        <v>1293</v>
      </c>
      <c r="F63" s="53" t="s">
        <v>1294</v>
      </c>
      <c r="G63" s="23">
        <v>0</v>
      </c>
      <c r="H63" s="117">
        <v>1200</v>
      </c>
      <c r="I63" s="23">
        <v>1200</v>
      </c>
      <c r="J63" s="23">
        <v>36</v>
      </c>
    </row>
  </sheetData>
  <phoneticPr fontId="6" type="noConversion"/>
  <pageMargins left="0.7" right="0.7" top="0.75" bottom="0.75" header="0.3" footer="0.3"/>
  <pageSetup paperSize="256" orientation="portrait" horizontalDpi="203" verticalDpi="203"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E3FB4-ED8E-48F3-8C91-0845F25A65BC}">
  <sheetPr codeName="Sheet6"/>
  <dimension ref="B1:G40"/>
  <sheetViews>
    <sheetView showGridLines="0" topLeftCell="A2" zoomScale="80" zoomScaleNormal="80" workbookViewId="0">
      <selection activeCell="B4" sqref="B4"/>
    </sheetView>
  </sheetViews>
  <sheetFormatPr defaultColWidth="3.81640625" defaultRowHeight="12.5"/>
  <cols>
    <col min="1" max="1" width="10" customWidth="1"/>
    <col min="2" max="2" width="16.08984375" customWidth="1"/>
    <col min="3" max="3" width="22.6328125" customWidth="1"/>
    <col min="4" max="4" width="3.81640625" style="106" customWidth="1"/>
    <col min="5" max="5" width="4" customWidth="1"/>
    <col min="6" max="6" width="0.81640625" customWidth="1"/>
    <col min="7" max="7" width="7.81640625" customWidth="1"/>
  </cols>
  <sheetData>
    <row r="1" spans="2:7" ht="9.65" customHeight="1" thickBot="1"/>
    <row r="2" spans="2:7" ht="25.75" customHeight="1" thickTop="1">
      <c r="B2" s="158" t="s">
        <v>948</v>
      </c>
      <c r="C2" s="159"/>
      <c r="D2" s="159"/>
      <c r="E2" s="159"/>
      <c r="F2" s="160"/>
      <c r="G2" s="55"/>
    </row>
    <row r="3" spans="2:7" ht="13" thickBot="1">
      <c r="B3" s="56"/>
      <c r="C3" s="57"/>
      <c r="D3" s="107"/>
      <c r="E3" s="57"/>
      <c r="F3" s="58"/>
    </row>
    <row r="4" spans="2:7" ht="20" customHeight="1" thickTop="1" thickBot="1">
      <c r="B4" s="59" t="s">
        <v>949</v>
      </c>
      <c r="C4" s="167"/>
      <c r="D4" s="168"/>
      <c r="E4" s="169"/>
      <c r="F4" s="60"/>
      <c r="G4" s="61"/>
    </row>
    <row r="5" spans="2:7" ht="7" customHeight="1" thickTop="1" thickBot="1">
      <c r="B5" s="62"/>
      <c r="C5" s="161"/>
      <c r="D5" s="153"/>
      <c r="E5" s="153"/>
      <c r="F5" s="60"/>
      <c r="G5" s="61"/>
    </row>
    <row r="6" spans="2:7" ht="20" customHeight="1" thickTop="1" thickBot="1">
      <c r="B6" s="62" t="s">
        <v>950</v>
      </c>
      <c r="C6" s="170"/>
      <c r="D6" s="171"/>
      <c r="E6" s="172"/>
      <c r="F6" s="60"/>
      <c r="G6" s="61"/>
    </row>
    <row r="7" spans="2:7" ht="7" customHeight="1" thickTop="1" thickBot="1">
      <c r="B7" s="62"/>
      <c r="C7" s="153"/>
      <c r="D7" s="153"/>
      <c r="E7" s="153"/>
      <c r="F7" s="60"/>
      <c r="G7" s="61"/>
    </row>
    <row r="8" spans="2:7" ht="20" customHeight="1" thickTop="1" thickBot="1">
      <c r="B8" s="62" t="s">
        <v>951</v>
      </c>
      <c r="C8" s="167"/>
      <c r="D8" s="168"/>
      <c r="E8" s="169"/>
      <c r="F8" s="60"/>
      <c r="G8" s="61"/>
    </row>
    <row r="9" spans="2:7" ht="7" customHeight="1" thickTop="1" thickBot="1">
      <c r="B9" s="62"/>
      <c r="C9" s="153"/>
      <c r="D9" s="153"/>
      <c r="E9" s="153"/>
      <c r="F9" s="60"/>
      <c r="G9" s="61"/>
    </row>
    <row r="10" spans="2:7" ht="20" customHeight="1" thickTop="1" thickBot="1">
      <c r="B10" s="62" t="s">
        <v>952</v>
      </c>
      <c r="C10" s="173"/>
      <c r="D10" s="168"/>
      <c r="E10" s="169"/>
      <c r="F10" s="60"/>
      <c r="G10" s="61"/>
    </row>
    <row r="11" spans="2:7" ht="7" customHeight="1" thickTop="1" thickBot="1">
      <c r="B11" s="62"/>
      <c r="C11" s="154"/>
      <c r="D11" s="154"/>
      <c r="E11" s="154"/>
      <c r="F11" s="60"/>
      <c r="G11" s="61"/>
    </row>
    <row r="12" spans="2:7" ht="20" customHeight="1" thickTop="1" thickBot="1">
      <c r="B12" s="62" t="s">
        <v>953</v>
      </c>
      <c r="C12" s="63"/>
      <c r="D12" s="64" t="s">
        <v>1295</v>
      </c>
      <c r="E12" s="65"/>
      <c r="F12" s="60"/>
      <c r="G12" s="61"/>
    </row>
    <row r="13" spans="2:7" ht="7" customHeight="1" thickTop="1" thickBot="1">
      <c r="B13" s="62"/>
      <c r="C13" s="66"/>
      <c r="D13" s="64"/>
      <c r="E13" s="67"/>
      <c r="F13" s="60"/>
      <c r="G13" s="61"/>
    </row>
    <row r="14" spans="2:7" ht="20" customHeight="1" thickTop="1" thickBot="1">
      <c r="B14" s="62" t="s">
        <v>954</v>
      </c>
      <c r="C14" s="63"/>
      <c r="D14" s="64" t="s">
        <v>1295</v>
      </c>
      <c r="E14" s="65"/>
      <c r="F14" s="60"/>
      <c r="G14" s="61"/>
    </row>
    <row r="15" spans="2:7" ht="7" customHeight="1" thickTop="1" thickBot="1">
      <c r="B15" s="62"/>
      <c r="C15" s="66"/>
      <c r="D15" s="64"/>
      <c r="E15" s="67"/>
      <c r="F15" s="60"/>
      <c r="G15" s="61"/>
    </row>
    <row r="16" spans="2:7" ht="20" customHeight="1" thickTop="1" thickBot="1">
      <c r="B16" s="62" t="s">
        <v>955</v>
      </c>
      <c r="C16" s="63"/>
      <c r="D16" s="64" t="s">
        <v>1295</v>
      </c>
      <c r="E16" s="65"/>
      <c r="F16" s="60"/>
      <c r="G16" s="61"/>
    </row>
    <row r="17" spans="2:7" ht="7" customHeight="1" thickTop="1" thickBot="1">
      <c r="B17" s="62"/>
      <c r="C17" s="66"/>
      <c r="D17" s="64"/>
      <c r="E17" s="67"/>
      <c r="F17" s="60"/>
      <c r="G17" s="61"/>
    </row>
    <row r="18" spans="2:7" ht="20" customHeight="1" thickTop="1" thickBot="1">
      <c r="B18" s="62" t="s">
        <v>956</v>
      </c>
      <c r="C18" s="63"/>
      <c r="D18" s="64" t="s">
        <v>1295</v>
      </c>
      <c r="E18" s="65"/>
      <c r="F18" s="60"/>
      <c r="G18" s="61"/>
    </row>
    <row r="19" spans="2:7" ht="7" customHeight="1" thickTop="1" thickBot="1">
      <c r="B19" s="62"/>
      <c r="C19" s="66"/>
      <c r="D19" s="108"/>
      <c r="E19" s="66"/>
      <c r="F19" s="60"/>
      <c r="G19" s="61"/>
    </row>
    <row r="20" spans="2:7" ht="19" customHeight="1" thickTop="1" thickBot="1">
      <c r="B20" s="103" t="s">
        <v>972</v>
      </c>
      <c r="C20" s="105"/>
      <c r="D20" s="109"/>
      <c r="E20" s="104"/>
      <c r="F20" s="60"/>
      <c r="G20" s="61"/>
    </row>
    <row r="21" spans="2:7" ht="9" customHeight="1" thickTop="1" thickBot="1">
      <c r="B21" s="62"/>
      <c r="C21" s="66"/>
      <c r="D21" s="108"/>
      <c r="E21" s="66"/>
      <c r="F21" s="60"/>
      <c r="G21" s="61"/>
    </row>
    <row r="22" spans="2:7" ht="58.25" customHeight="1" thickTop="1" thickBot="1">
      <c r="B22" s="68" t="s">
        <v>957</v>
      </c>
      <c r="C22" s="155"/>
      <c r="D22" s="156"/>
      <c r="E22" s="157"/>
      <c r="F22" s="60"/>
      <c r="G22" s="61"/>
    </row>
    <row r="23" spans="2:7" ht="17.5" customHeight="1" thickTop="1">
      <c r="B23" s="68"/>
      <c r="C23" s="102"/>
      <c r="D23" s="110"/>
      <c r="E23" s="102"/>
      <c r="F23" s="60"/>
      <c r="G23" s="61"/>
    </row>
    <row r="24" spans="2:7" ht="22" customHeight="1">
      <c r="B24" s="69"/>
      <c r="C24" s="66"/>
      <c r="D24" s="108"/>
      <c r="E24" s="66"/>
      <c r="F24" s="60"/>
      <c r="G24" s="61"/>
    </row>
    <row r="25" spans="2:7" ht="13" thickBot="1">
      <c r="B25" s="70"/>
      <c r="C25" s="71"/>
      <c r="D25" s="111"/>
      <c r="E25" s="71"/>
      <c r="F25" s="72"/>
      <c r="G25" s="61"/>
    </row>
    <row r="26" spans="2:7" ht="13" thickTop="1">
      <c r="B26" s="61"/>
      <c r="C26" s="61"/>
      <c r="D26" s="112"/>
      <c r="E26" s="61"/>
      <c r="F26" s="61"/>
      <c r="G26" s="61"/>
    </row>
    <row r="27" spans="2:7">
      <c r="B27" s="61"/>
      <c r="C27" s="61"/>
      <c r="D27" s="112"/>
      <c r="E27" s="61"/>
      <c r="F27" s="61"/>
      <c r="G27" s="61"/>
    </row>
    <row r="28" spans="2:7">
      <c r="B28" s="61"/>
      <c r="C28" s="61"/>
      <c r="D28" s="112"/>
      <c r="E28" s="61"/>
      <c r="F28" s="61"/>
      <c r="G28" s="61"/>
    </row>
    <row r="29" spans="2:7">
      <c r="B29" s="61"/>
      <c r="C29" s="61"/>
      <c r="D29" s="112"/>
      <c r="E29" s="61"/>
      <c r="F29" s="61"/>
      <c r="G29" s="61"/>
    </row>
    <row r="30" spans="2:7">
      <c r="B30" s="61"/>
      <c r="C30" s="61"/>
      <c r="D30" s="112"/>
      <c r="E30" s="61"/>
      <c r="F30" s="61"/>
      <c r="G30" s="61"/>
    </row>
    <row r="31" spans="2:7">
      <c r="B31" s="61"/>
      <c r="C31" s="61"/>
      <c r="D31" s="112"/>
      <c r="E31" s="61"/>
      <c r="F31" s="61"/>
      <c r="G31" s="61"/>
    </row>
    <row r="32" spans="2:7">
      <c r="B32" s="61"/>
      <c r="C32" s="61"/>
      <c r="D32" s="112"/>
      <c r="E32" s="61"/>
      <c r="F32" s="61"/>
      <c r="G32" s="61"/>
    </row>
    <row r="33" spans="2:7">
      <c r="B33" s="61"/>
      <c r="C33" s="61"/>
      <c r="D33" s="112"/>
      <c r="E33" s="61"/>
      <c r="F33" s="61"/>
      <c r="G33" s="61"/>
    </row>
    <row r="34" spans="2:7">
      <c r="B34" s="61"/>
      <c r="C34" s="61"/>
      <c r="D34" s="112"/>
      <c r="E34" s="61"/>
      <c r="F34" s="61"/>
      <c r="G34" s="61"/>
    </row>
    <row r="35" spans="2:7">
      <c r="B35" s="61"/>
      <c r="C35" s="61"/>
      <c r="D35" s="112"/>
      <c r="E35" s="61"/>
      <c r="F35" s="61"/>
      <c r="G35" s="61"/>
    </row>
    <row r="36" spans="2:7">
      <c r="B36" s="61"/>
      <c r="C36" s="61"/>
      <c r="D36" s="112"/>
      <c r="E36" s="61"/>
      <c r="F36" s="61"/>
      <c r="G36" s="61"/>
    </row>
    <row r="37" spans="2:7">
      <c r="B37" s="61"/>
      <c r="C37" s="61"/>
      <c r="D37" s="112"/>
      <c r="E37" s="61"/>
      <c r="F37" s="61"/>
      <c r="G37" s="61"/>
    </row>
    <row r="38" spans="2:7">
      <c r="B38" s="61"/>
      <c r="C38" s="61"/>
      <c r="D38" s="112"/>
      <c r="E38" s="61"/>
      <c r="F38" s="61"/>
      <c r="G38" s="61"/>
    </row>
    <row r="39" spans="2:7">
      <c r="B39" s="61"/>
      <c r="C39" s="61"/>
      <c r="D39" s="112"/>
      <c r="E39" s="61"/>
      <c r="F39" s="61"/>
      <c r="G39" s="61"/>
    </row>
    <row r="40" spans="2:7">
      <c r="B40" s="61"/>
      <c r="C40" s="61"/>
      <c r="D40" s="112"/>
      <c r="E40" s="61"/>
      <c r="F40" s="61"/>
      <c r="G40" s="61"/>
    </row>
  </sheetData>
  <sheetProtection algorithmName="SHA-512" hashValue="Xysf/Hq0g5RoFZ46YifyiV8wwcyiHLbrUocLyaxV8WRYVUMEDduq/7+Avs4pDuxEDthfcvHOcsEBDbT2h375Wg==" saltValue="DA2hSF23ELD6oGiT2bV/6A==" spinCount="100000" sheet="1" objects="1" scenarios="1"/>
  <mergeCells count="6">
    <mergeCell ref="C9:E9"/>
    <mergeCell ref="C11:E11"/>
    <mergeCell ref="C22:E22"/>
    <mergeCell ref="B2:F2"/>
    <mergeCell ref="C5:E5"/>
    <mergeCell ref="C7:E7"/>
  </mergeCells>
  <dataValidations count="2">
    <dataValidation type="list" allowBlank="1" showInputMessage="1" showErrorMessage="1" error="Please select a valid plant name from the list for Cây táo." prompt="Select a specific plant" sqref="C12 C18 C16 C14" xr:uid="{DC3829B4-A6FE-4A90-A045-4FAB791E3EF1}">
      <formula1>"Táo 13,Táo Tiger Tooth,Táo đỏ Ấn Độ,Táo sita,Táo amaty,Táo michal,Táo 16"</formula1>
    </dataValidation>
    <dataValidation type="list" allowBlank="1" showInputMessage="1" showErrorMessage="1" error="Please select a valid plant type from the list." prompt="Select a plant type" sqref="C10" xr:uid="{4EF043AC-76DE-47BF-A259-B63DAA6E82C0}">
      <formula1>"Cây ăn trái,Cây chanh,Cây chuối,Cây cam,Cây bưởi,Cây mận,Cây táo,Cây trâm,Cây xoài,Cây ổi,Cây mít,Cây me,Cây nhãn,Mãng cầu,Cây na,Cây vải,Hạt giống,Hạt lúa,Củ thiên tuế,Hạt dẻ,Hạt bí,Hạt đậu biết,Nhãn sầu riêng,Cây hoa,Cây cảnh"</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CreateNextDependentPlantDropdown">
                <anchor moveWithCells="1" sizeWithCells="1">
                  <from>
                    <xdr:col>2</xdr:col>
                    <xdr:colOff>450850</xdr:colOff>
                    <xdr:row>23</xdr:row>
                    <xdr:rowOff>44450</xdr:rowOff>
                  </from>
                  <to>
                    <xdr:col>2</xdr:col>
                    <xdr:colOff>1206500</xdr:colOff>
                    <xdr:row>24</xdr:row>
                    <xdr:rowOff>107950</xdr:rowOff>
                  </to>
                </anchor>
              </controlPr>
            </control>
          </mc:Choice>
        </mc:AlternateContent>
        <mc:AlternateContent xmlns:mc="http://schemas.openxmlformats.org/markup-compatibility/2006">
          <mc:Choice Requires="x14">
            <control shapeId="14338" r:id="rId4" name="Button 2">
              <controlPr defaultSize="0" print="0" autoFill="0" autoPict="0" macro="[0]!ClearSheet">
                <anchor moveWithCells="1" sizeWithCells="1">
                  <from>
                    <xdr:col>1</xdr:col>
                    <xdr:colOff>44450</xdr:colOff>
                    <xdr:row>23</xdr:row>
                    <xdr:rowOff>31750</xdr:rowOff>
                  </from>
                  <to>
                    <xdr:col>1</xdr:col>
                    <xdr:colOff>793750</xdr:colOff>
                    <xdr:row>24</xdr:row>
                    <xdr:rowOff>88900</xdr:rowOff>
                  </to>
                </anchor>
              </controlPr>
            </control>
          </mc:Choice>
        </mc:AlternateContent>
        <mc:AlternateContent xmlns:mc="http://schemas.openxmlformats.org/markup-compatibility/2006">
          <mc:Choice Requires="x14">
            <control shapeId="14339" r:id="rId5" name="Button 3">
              <controlPr defaultSize="0" print="0" autoFill="0" autoPict="0" macro="[0]!SummarizeOrder">
                <anchor moveWithCells="1" sizeWithCells="1">
                  <from>
                    <xdr:col>2</xdr:col>
                    <xdr:colOff>1397000</xdr:colOff>
                    <xdr:row>23</xdr:row>
                    <xdr:rowOff>63500</xdr:rowOff>
                  </from>
                  <to>
                    <xdr:col>5</xdr:col>
                    <xdr:colOff>6350</xdr:colOff>
                    <xdr:row>24</xdr:row>
                    <xdr:rowOff>107950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Introduction</vt:lpstr>
      <vt:lpstr>PriceList</vt:lpstr>
      <vt:lpstr>TLSG</vt:lpstr>
      <vt:lpstr>OderFolow</vt:lpstr>
      <vt:lpstr>SheetForm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Hieu Dang Trung</cp:lastModifiedBy>
  <dcterms:created xsi:type="dcterms:W3CDTF">2025-07-23T12:32:23Z</dcterms:created>
  <dcterms:modified xsi:type="dcterms:W3CDTF">2025-08-16T03:48:20Z</dcterms:modified>
</cp:coreProperties>
</file>